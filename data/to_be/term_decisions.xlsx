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74400c735444760" /></Relationships>
</file>

<file path=xl/workbook.xml><?xml version="1.0" encoding="utf-8"?>
<x:workbook xmlns:x="http://schemas.openxmlformats.org/spreadsheetml/2006/main">
  <x:sheets>
    <x:sheet xmlns:r="http://schemas.openxmlformats.org/officeDocument/2006/relationships" name="Сводка" sheetId="1" r:id="R744f61ff975d4b2d"/>
    <x:sheet xmlns:r="http://schemas.openxmlformats.org/officeDocument/2006/relationships" name="Решения_по_терминам" sheetId="2" r:id="R623128f8d5e442c4"/>
    <x:sheet xmlns:r="http://schemas.openxmlformats.org/officeDocument/2006/relationships" name="Новые_термины" sheetId="3" r:id="R3751b2ec262f4afd"/>
    <x:sheet xmlns:r="http://schemas.openxmlformats.org/officeDocument/2006/relationships" name="Справочники" sheetId="4" r:id="R81d071931bfb4ce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1"/>
      <x:color rgb="FFFFFFFF"/>
      <x:name val="Carlito"/>
    </x:font>
    <x:font>
      <x:b/>
      <x:sz val="11"/>
      <x:name val="Carlito"/>
    </x:font>
    <x:font>
      <x:b/>
      <x:sz val="16"/>
      <x:color rgb="FFFFFFFF"/>
      <x:name val="Carlito"/>
    </x:font>
  </x:fonts>
  <x:fills count="8">
    <x:fill>
      <x:patternFill patternType="none"/>
    </x:fill>
    <x:fill>
      <x:patternFill patternType="gray125"/>
    </x:fill>
    <x:fill>
      <x:patternFill patternType="solid">
        <x:fgColor rgb="FF1F4E78"/>
      </x:patternFill>
    </x:fill>
    <x:fill>
      <x:patternFill patternType="solid">
        <x:fgColor rgb="FF7F6000"/>
      </x:patternFill>
    </x:fill>
    <x:fill>
      <x:patternFill patternType="solid">
        <x:fgColor rgb="FFD9E1F2"/>
      </x:patternFill>
    </x:fill>
    <x:fill>
      <x:patternFill patternType="solid">
        <x:fgColor rgb="FF17365D"/>
      </x:patternFill>
    </x:fill>
    <x:fill>
      <x:patternFill patternType="solid">
        <x:fgColor rgb="FFD9EAF7"/>
      </x:patternFill>
    </x:fill>
    <x:fill>
      <x:patternFill patternType="solid">
        <x:fgColor rgb="FFE2F0D9"/>
      </x:patternFill>
    </x:fill>
  </x:fills>
  <x:borders count="2">
    <x:border/>
    <x:border/>
  </x:borders>
  <x:cellStyleXfs count="1">
    <x:xf numFmtId="0" fontId="0" fillId="0" borderId="0"/>
  </x:cellStyleXfs>
  <x:cellXfs count="5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xf numFmtId="0" fontId="1" fillId="3" borderId="0" xfId="0" applyNumberFormat="1" applyFont="1" applyFill="1" applyBorder="1" applyAlignment="1">
      <x:alignment horizontal="center" vertical="center" wrapText="1"/>
    </x:xf>
    <x:xf numFmtId="0" fontId="0" fillId="3" borderId="1" xfId="0" applyNumberFormat="1" applyFont="1" applyFill="1" applyBorder="1"/>
    <x:xf numFmtId="0" fontId="1" fillId="3" borderId="1" xfId="0" applyNumberFormat="1" applyFont="1" applyFill="1" applyBorder="1"/>
    <x:xf numFmtId="0" fontId="1" fillId="3" borderId="1" xfId="0" applyNumberFormat="1" applyFont="1" applyFill="1" applyBorder="1" applyAlignment="1">
      <x:alignment wrapText="1"/>
    </x:xf>
    <x:xf numFmtId="0" fontId="1" fillId="3" borderId="1" xfId="0" applyNumberFormat="1" applyFont="1" applyFill="1" applyBorder="1" applyAlignment="1">
      <x:alignment horizontal="center" wrapText="1"/>
    </x:xf>
    <x:xf numFmtId="0" fontId="1" fillId="3" borderId="1" xfId="0" applyNumberFormat="1" applyFont="1" applyFill="1" applyBorder="1" applyAlignment="1">
      <x:alignment horizontal="center" vertical="center"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horizontal="center"/>
    </x:xf>
    <x:xf numFmtId="0" fontId="3" fillId="5" borderId="0" xfId="0" applyNumberFormat="1" applyFont="1" applyFill="1" applyBorder="1" applyAlignment="1">
      <x:alignment horizontal="center" vertical="center"/>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horizontal="center"/>
    </x:xf>
    <x:xf numFmtId="0" fontId="3" fillId="5" borderId="1" xfId="0" applyNumberFormat="1" applyFont="1" applyFill="1" applyBorder="1" applyAlignment="1">
      <x:alignment horizontal="center" vertical="center"/>
    </x:xf>
    <x:xf numFmtId="0" fontId="0" fillId="6" borderId="0" xfId="0" applyNumberFormat="1" applyFont="1" applyFill="1" applyBorder="1"/>
    <x:xf numFmtId="0" fontId="2" fillId="6" borderId="0" xfId="0" applyNumberFormat="1" applyFont="1" applyFill="1" applyBorder="1"/>
    <x:xf numFmtId="0" fontId="2" fillId="6" borderId="0" xfId="0" applyNumberFormat="1" applyFont="1" applyFill="1" applyBorder="1" applyAlignment="1">
      <x:alignment horizontal="center"/>
    </x:xf>
    <x:xf numFmtId="0" fontId="0" fillId="6" borderId="1" xfId="0" applyNumberFormat="1" applyFont="1" applyFill="1" applyBorder="1"/>
    <x:xf numFmtId="0" fontId="2" fillId="6" borderId="1" xfId="0" applyNumberFormat="1" applyFont="1" applyFill="1" applyBorder="1"/>
    <x:xf numFmtId="0" fontId="2" fillId="6" borderId="1" xfId="0" applyNumberFormat="1" applyFont="1" applyFill="1" applyBorder="1" applyAlignment="1">
      <x:alignment horizontal="center"/>
    </x:xf>
    <x:xf numFmtId="0" fontId="0" fillId="7" borderId="0" xfId="0" applyNumberFormat="1" applyFont="1" applyFill="1" applyBorder="1"/>
    <x:xf numFmtId="0" fontId="2" fillId="7" borderId="0" xfId="0" applyNumberFormat="1" applyFont="1" applyFill="1" applyBorder="1"/>
    <x:xf numFmtId="0" fontId="2" fillId="7" borderId="0" xfId="0" applyNumberFormat="1" applyFont="1" applyFill="1" applyBorder="1" applyAlignment="1">
      <x:alignment horizontal="center"/>
    </x:xf>
    <x:xf numFmtId="0" fontId="0" fillId="7" borderId="1" xfId="0" applyNumberFormat="1" applyFont="1" applyFill="1" applyBorder="1"/>
    <x:xf numFmtId="0" fontId="2" fillId="7" borderId="1" xfId="0" applyNumberFormat="1" applyFont="1" applyFill="1" applyBorder="1"/>
    <x:xf numFmtId="0" fontId="2" fillId="7" borderId="1" xfId="0" applyNumberFormat="1" applyFont="1" applyFill="1" applyBorder="1" applyAlignment="1">
      <x:alignment horizontal="center"/>
    </x:xf>
    <x:xf numFmtId="0" fontId="2" fillId="6" borderId="0" xfId="0" applyNumberFormat="1" applyFont="1" applyFill="1" applyBorder="1" applyAlignment="1">
      <x:alignment horizontal="center" wrapText="1"/>
    </x:xf>
    <x:xf numFmtId="0" fontId="2" fillId="7" borderId="0" xfId="0" applyNumberFormat="1" applyFont="1" applyFill="1" applyBorder="1" applyAlignment="1">
      <x:alignment horizontal="center" wrapText="1"/>
    </x:xf>
  </x:cellXfs>
  <x:cellStyles count="1">
    <x:cellStyle name="Normal" xfId="0"/>
  </x:cellStyles>
  <x:dxfs count="5">
    <x:dxf>
      <x:font>
        <x:b/>
        <x:color rgb="FF2F641C"/>
      </x:font>
      <x:fill>
        <x:patternFill patternType="solid">
          <x:bgColor rgb="FFE2F0D9"/>
        </x:patternFill>
      </x:fill>
    </x:dxf>
    <x:dxf>
      <x:font>
        <x:b/>
        <x:color rgb="FF9C0006"/>
      </x:font>
      <x:fill>
        <x:patternFill patternType="solid">
          <x:bgColor rgb="FFFCE4D6"/>
        </x:patternFill>
      </x:fill>
    </x:dxf>
    <x:dxf>
      <x:fill>
        <x:patternFill patternType="solid">
          <x:bgColor rgb="FFFFF2CC"/>
        </x:patternFill>
      </x:fill>
    </x:dxf>
    <x:dxf>
      <x:fill>
        <x:patternFill patternType="solid">
          <x:bgColor rgb="FFE2F0D9"/>
        </x:patternFill>
      </x:fill>
    </x:dxf>
    <x:dxf>
      <x:fill>
        <x:patternFill patternType="solid">
          <x:bgColor rgb="FFD9EAF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54a390488aa64f7f" /><Relationship Type="http://schemas.openxmlformats.org/officeDocument/2006/relationships/theme" Target="/xl/theme/theme1.xml" Id="Rcc14e5a9f0774be0" /><Relationship Type="http://schemas.openxmlformats.org/officeDocument/2006/relationships/sharedStrings" Target="/xl/sharedStrings.xml" Id="R4c84474e4f6447ff" /><Relationship Type="http://schemas.openxmlformats.org/officeDocument/2006/relationships/worksheet" Target="/xl/worksheets/sheet1.xml" Id="R744f61ff975d4b2d" /><Relationship Type="http://schemas.openxmlformats.org/officeDocument/2006/relationships/worksheet" Target="/xl/worksheets/sheet2.xml" Id="R623128f8d5e442c4" /><Relationship Type="http://schemas.openxmlformats.org/officeDocument/2006/relationships/worksheet" Target="/xl/worksheets/sheet3.xml" Id="R3751b2ec262f4afd" /><Relationship Type="http://schemas.openxmlformats.org/officeDocument/2006/relationships/worksheet" Target="/xl/worksheets/sheet4.xml" Id="R81d071931bfb4ce9" /></Relationships>
</file>

<file path=xl/tables/table1.xml><?xml version="1.0" encoding="utf-8"?>
<x:table xmlns:x="http://schemas.openxmlformats.org/spreadsheetml/2006/main" id="1" name="TermDecisionsTable" displayName="TermDecisionsTable" ref="A1:Q70" headerRowCount="1" totalsRowCount="0" totalsRowShown="0">
  <x:tableColumns count="17">
    <x:tableColumn id="1" name="ID"/>
    <x:tableColumn id="2" name="Исходный термин"/>
    <x:tableColumn id="3" name="Мета-класс L1"/>
    <x:tableColumn id="4" name="Функциональный класс L2"/>
    <x:tableColumn id="5" name="AS-IS родитель"/>
    <x:tableColumn id="6" name="AS-IS связь"/>
    <x:tableColumn id="7" name="Критерий деления"/>
    <x:tableColumn id="8" name="AS-IS дефект / казус"/>
    <x:tableColumn id="9" name="Есть в проекте руководителя?"/>
    <x:tableColumn id="10" name="Название в проекте"/>
    <x:tableColumn id="11" name="Определение в ФЗ (из проекта)"/>
    <x:tableColumn id="12" name="Предлагаемая формулировка / родо-видовые признаки"/>
    <x:tableColumn id="13" name="Предварительный статус"/>
    <x:tableColumn id="14" name="TO-BE родитель"/>
    <x:tableColumn id="15" name="TO-BE связь"/>
    <x:tableColumn id="16" name="Семантический тип"/>
    <x:tableColumn id="17" name="Решение / комментарий"/>
  </x:tableColumns>
  <x:tableStyleInfo name="TableStyleMedium2" showFirstColumn="0" showLastColumn="0" showRowStripes="1" showColumnStripes="0"/>
</x:table>
</file>

<file path=xl/tables/table2.xml><?xml version="1.0" encoding="utf-8"?>
<x:table xmlns:x="http://schemas.openxmlformats.org/spreadsheetml/2006/main" id="2" name="NewTermsTable" displayName="NewTermsTable" ref="A1:H4" headerRowCount="1" totalsRowCount="0" totalsRowShown="0">
  <x:tableColumns count="8">
    <x:tableColumn id="1" name="Новый термин"/>
    <x:tableColumn id="2" name="Определение / контекст в проекте"/>
    <x:tableColumn id="3" name="Предлагаемая формулировка"/>
    <x:tableColumn id="4" name="Статус"/>
    <x:tableColumn id="5" name="TO-BE родитель"/>
    <x:tableColumn id="6" name="TO-BE связь"/>
    <x:tableColumn id="7" name="Семантический тип"/>
    <x:tableColumn id="8" name="Комментарий"/>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4da60a8d44754616" /></Relationships>
</file>

<file path=xl/worksheets/_rels/sheet3.xml.rels>&#65279;<?xml version="1.0" encoding="utf-8"?><Relationships xmlns="http://schemas.openxmlformats.org/package/2006/relationships"><Relationship Type="http://schemas.openxmlformats.org/officeDocument/2006/relationships/table" Target="/xl/tables/table2.xml" Id="R07a6d23b564a49b6" /></Relationships>
</file>

<file path=xl/worksheets/sheet1.xml><?xml version="1.0" encoding="utf-8"?>
<x:worksheet xmlns:x="http://schemas.openxmlformats.org/spreadsheetml/2006/main">
  <x:sheetFormatPr defaultRowHeight="15"/>
  <x:cols>
    <x:col min="1" max="1" width="30" hidden="0" customWidth="1"/>
    <x:col min="2" max="2" width="55" hidden="0" customWidth="1"/>
    <x:col min="3" max="3" width="12" hidden="0" customWidth="1"/>
    <x:col min="4" max="4" width="12" hidden="0" customWidth="1"/>
  </x:cols>
  <x:sheetData>
    <x:row r="1" ht="30" customHeight="1">
      <x:c r="A1" s="35" t="str">
        <x:v>Матрица решений по терминосистеме 329-ФЗ</x:v>
      </x:c>
      <x:c r="B1" s="35"/>
      <x:c r="C1" s="35"/>
      <x:c r="D1" s="35"/>
    </x:row>
    <x:row r="3">
      <x:c r="A3" s="52" t="str">
        <x:v>Показатель</x:v>
      </x:c>
      <x:c r="B3" s="52" t="str">
        <x:v>Значение</x:v>
      </x:c>
      <x:c r="C3" s="12"/>
      <x:c r="D3" s="12"/>
    </x:row>
    <x:row r="4">
      <x:c r="A4" s="12" t="str">
        <x:v>Исходных терминов</x:v>
      </x:c>
      <x:c r="B4" s="12" t="n">
        <x:f>COUNTA('Решения_по_терминам'!B2:B70)</x:f>
        <x:v>69</x:v>
      </x:c>
      <x:c r="C4" s="12"/>
      <x:c r="D4" s="12"/>
    </x:row>
    <x:row r="5">
      <x:c r="A5" s="12" t="str">
        <x:v>Есть в проекте руководителя</x:v>
      </x:c>
      <x:c r="B5" s="12" t="n">
        <x:f>COUNTIF('Решения_по_терминам'!I2:I70,"Да")</x:f>
        <x:v>38</x:v>
      </x:c>
      <x:c r="C5" s="12"/>
      <x:c r="D5" s="12"/>
    </x:row>
    <x:row r="6">
      <x:c r="A6" s="12" t="str">
        <x:v>Нет в проекте руководителя</x:v>
      </x:c>
      <x:c r="B6" s="12" t="n">
        <x:f>COUNTIF('Решения_по_терминам'!I2:I70,"Нет")</x:f>
        <x:v>31</x:v>
      </x:c>
      <x:c r="C6" s="12"/>
      <x:c r="D6" s="12"/>
    </x:row>
    <x:row r="7">
      <x:c r="A7" s="12" t="str">
        <x:v>Новых терминов в проекте</x:v>
      </x:c>
      <x:c r="B7" s="12" t="n">
        <x:f>COUNTA('Новые_термины'!A2:A4)</x:f>
        <x:v>3</x:v>
      </x:c>
      <x:c r="C7" s="12"/>
      <x:c r="D7" s="12"/>
    </x:row>
    <x:row r="8">
      <x:c r="A8" s="12" t="str">
        <x:v>KEEP</x:v>
      </x:c>
      <x:c r="B8" s="12" t="n">
        <x:f>COUNTIF('Решения_по_терминам'!M2:M70,"KEEP")</x:f>
        <x:v>13</x:v>
      </x:c>
      <x:c r="C8" s="12"/>
      <x:c r="D8" s="12"/>
    </x:row>
    <x:row r="9">
      <x:c r="A9" s="12" t="str">
        <x:v>REDEFINE</x:v>
      </x:c>
      <x:c r="B9" s="12" t="n">
        <x:f>COUNTIF('Решения_по_терминам'!M2:M70,"REDEFINE")</x:f>
        <x:v>25</x:v>
      </x:c>
      <x:c r="C9" s="12"/>
      <x:c r="D9" s="12"/>
    </x:row>
    <x:row r="10">
      <x:c r="A10" s="12" t="str">
        <x:v>REVIEW</x:v>
      </x:c>
      <x:c r="B10" s="12" t="n">
        <x:f>COUNTIF('Решения_по_терминам'!M2:M70,"REVIEW")</x:f>
        <x:v>31</x:v>
      </x:c>
      <x:c r="C10" s="12"/>
      <x:c r="D10" s="12"/>
    </x:row>
    <x:row r="11">
      <x:c r="A11" s="12"/>
      <x:c r="B11" s="12"/>
      <x:c r="C11" s="12"/>
      <x:c r="D11" s="12"/>
    </x:row>
    <x:row r="12">
      <x:c r="A12" s="53" t="str">
        <x:v>Как пользоваться</x:v>
      </x:c>
      <x:c r="B12" s="53"/>
      <x:c r="C12" s="53"/>
      <x:c r="D12" s="53"/>
    </x:row>
    <x:row r="13">
      <x:c r="A13" s="12" t="str">
        <x:v>1</x:v>
      </x:c>
      <x:c r="B13" s="12" t="str">
        <x:v>Сначала смотрим AS-IS и дефект.</x:v>
      </x:c>
      <x:c r="C13" s="12"/>
      <x:c r="D13" s="12"/>
    </x:row>
    <x:row r="14">
      <x:c r="A14" s="12" t="str">
        <x:v>2</x:v>
      </x:c>
      <x:c r="B14" s="12" t="str">
        <x:v>Сверяем с проектом руководителя.</x:v>
      </x:c>
      <x:c r="C14" s="12"/>
      <x:c r="D14" s="12"/>
    </x:row>
    <x:row r="15">
      <x:c r="A15" s="12" t="str">
        <x:v>3</x:v>
      </x:c>
      <x:c r="B15" s="12" t="str">
        <x:v>Выбираем статус и заполняем TO-BE родителя/связь/семантический тип.</x:v>
      </x:c>
      <x:c r="C15" s="12"/>
      <x:c r="D15" s="12"/>
    </x:row>
    <x:row r="16">
      <x:c r="A16" s="12" t="str">
        <x:v>4</x:v>
      </x:c>
      <x:c r="B16" s="12" t="str">
        <x:v>Новые термины рассматриваем отдельно и добавляем только после обоснования.</x:v>
      </x:c>
      <x:c r="C16" s="12"/>
      <x:c r="D16" s="12"/>
    </x:row>
  </x:sheetData>
  <x:mergeCells>
    <x:mergeCell ref="A1:D1"/>
    <x:mergeCell ref="A12:D12"/>
    <x:mergeCell ref="B13:D13"/>
    <x:mergeCell ref="B14:D14"/>
    <x:mergeCell ref="B15:D15"/>
    <x:mergeCell ref="B16:D16"/>
  </x:mergeCells>
  <x:pageMargins left="0.7" right="0.7" top="0.75" bottom="0.75" header="0.3" footer="0.3"/>
</x:worksheet>
</file>

<file path=xl/worksheets/sheet2.xml><?xml version="1.0" encoding="utf-8"?>
<x:worksheet xmlns:x="http://schemas.openxmlformats.org/spreadsheetml/2006/main">
  <x:sheetFormatPr defaultRowHeight="15"/>
  <x:cols>
    <x:col min="1" max="1" width="6" hidden="0" customWidth="1"/>
    <x:col min="2" max="2" width="28" hidden="0" customWidth="1"/>
    <x:col min="3" max="3" width="18" hidden="0" customWidth="1"/>
    <x:col min="4" max="4" width="22" hidden="0" customWidth="1"/>
    <x:col min="5" max="5" width="25" hidden="0" customWidth="1"/>
    <x:col min="6" max="6" width="12" hidden="0" customWidth="1"/>
    <x:col min="7" max="7" width="24" hidden="0" customWidth="1"/>
    <x:col min="8" max="8" width="38" hidden="0" customWidth="1"/>
    <x:col min="9" max="9" width="15" hidden="0" customWidth="1"/>
    <x:col min="10" max="10" width="30" hidden="0" customWidth="1"/>
    <x:col min="11" max="11" width="48" hidden="0" customWidth="1"/>
    <x:col min="12" max="12" width="52" hidden="0" customWidth="1"/>
    <x:col min="13" max="13" width="16" hidden="0" customWidth="1"/>
    <x:col min="14" max="14" width="28" hidden="0" customWidth="1"/>
    <x:col min="15" max="15" width="14" hidden="0" customWidth="1"/>
    <x:col min="16" max="16" width="20" hidden="0" customWidth="1"/>
    <x:col min="17" max="17" width="36" hidden="0" customWidth="1"/>
  </x:cols>
  <x:sheetData>
    <x:row r="1" ht="34" customHeight="1">
      <x:c r="A1" s="6" t="str">
        <x:v>ID</x:v>
      </x:c>
      <x:c r="B1" s="6" t="str">
        <x:v>Исходный термин</x:v>
      </x:c>
      <x:c r="C1" s="6" t="str">
        <x:v>Мета-класс L1</x:v>
      </x:c>
      <x:c r="D1" s="6" t="str">
        <x:v>Функциональный класс L2</x:v>
      </x:c>
      <x:c r="E1" s="6" t="str">
        <x:v>AS-IS родитель</x:v>
      </x:c>
      <x:c r="F1" s="6" t="str">
        <x:v>AS-IS связь</x:v>
      </x:c>
      <x:c r="G1" s="6" t="str">
        <x:v>Критерий деления</x:v>
      </x:c>
      <x:c r="H1" s="6" t="str">
        <x:v>AS-IS дефект / казус</x:v>
      </x:c>
      <x:c r="I1" s="6" t="str">
        <x:v>Есть в проекте руководителя?</x:v>
      </x:c>
      <x:c r="J1" s="6" t="str">
        <x:v>Название в проекте</x:v>
      </x:c>
      <x:c r="K1" s="6" t="str">
        <x:v>Определение в ФЗ (из проекта)</x:v>
      </x:c>
      <x:c r="L1" s="6" t="str">
        <x:v>Предлагаемая формулировка / родо-видовые признаки</x:v>
      </x:c>
      <x:c r="M1" s="6" t="str">
        <x:v>Предварительный статус</x:v>
      </x:c>
      <x:c r="N1" s="6" t="str">
        <x:v>TO-BE родитель</x:v>
      </x:c>
      <x:c r="O1" s="6" t="str">
        <x:v>TO-BE связь</x:v>
      </x:c>
      <x:c r="P1" s="6" t="str">
        <x:v>Семантический тип</x:v>
      </x:c>
      <x:c r="Q1" s="6" t="str">
        <x:v>Решение / комментарий</x:v>
      </x:c>
    </x:row>
    <x:row r="2">
      <x:c r="A2" s="14" t="n">
        <x:v>1</x:v>
      </x:c>
      <x:c r="B2" s="14" t="str">
        <x:v>Вид программы</x:v>
      </x:c>
      <x:c r="C2" s="14" t="str">
        <x:v>Спорт</x:v>
      </x:c>
      <x:c r="D2" s="14" t="str">
        <x:v>Сферы и виды спорта</x:v>
      </x:c>
      <x:c r="E2" s="14" t="str">
        <x:v>Спортивная дисциплина</x:v>
      </x:c>
      <x:c r="F2" s="14" t="str">
        <x:v>Part-Of</x:v>
      </x:c>
      <x:c r="G2" s="14" t="str">
        <x:v>Структура состязания</x:v>
      </x:c>
      <x:c r="H2" s="14" t="str">
        <x:v>Смешение соревновательного процесса и элемента дисциплины.</x:v>
      </x:c>
      <x:c r="I2" s="14" t="str">
        <x:v>Нет</x:v>
      </x:c>
      <x:c r="J2" s="14" t="str"/>
      <x:c r="K2" s="14" t="str"/>
      <x:c r="L2" s="14" t="str"/>
      <x:c r="M2" s="14" t="str">
        <x:v>REVIEW</x:v>
      </x:c>
      <x:c r="N2" s="14" t="str"/>
      <x:c r="O2" s="14" t="str"/>
      <x:c r="P2" s="14" t="str"/>
      <x:c r="Q2" s="14" t="str"/>
    </x:row>
    <x:row r="3">
      <x:c r="A3" s="14" t="n">
        <x:v>2</x:v>
      </x:c>
      <x:c r="B3" s="14" t="str">
        <x:v>Антидопинговое обеспечение</x:v>
      </x:c>
      <x:c r="C3" s="14" t="str">
        <x:v>Физическая культура</x:v>
      </x:c>
      <x:c r="D3" s="14" t="str">
        <x:v>Инфраструктура и Нормы</x:v>
      </x:c>
      <x:c r="E3" s="14" t="str">
        <x:v>Спорт</x:v>
      </x:c>
      <x:c r="F3" s="14" t="str">
        <x:v>Attribute</x:v>
      </x:c>
      <x:c r="G3" s="14" t="str">
        <x:v>Служебный процесс</x:v>
      </x:c>
      <x:c r="H3" s="14" t="str">
        <x:v>Деятельностный процесс вынесен на базовый понятийный уровень без привязки к подготовке.</x:v>
      </x:c>
      <x:c r="I3" s="14" t="str">
        <x:v>Нет</x:v>
      </x:c>
      <x:c r="J3" s="14" t="str"/>
      <x:c r="K3" s="14" t="str"/>
      <x:c r="L3" s="14" t="str"/>
      <x:c r="M3" s="14" t="str">
        <x:v>REVIEW</x:v>
      </x:c>
      <x:c r="N3" s="14" t="str"/>
      <x:c r="O3" s="14" t="str"/>
      <x:c r="P3" s="14" t="str"/>
      <x:c r="Q3" s="14" t="str"/>
    </x:row>
    <x:row r="4">
      <x:c r="A4" s="14" t="n">
        <x:v>3</x:v>
      </x:c>
      <x:c r="B4" s="14" t="str">
        <x:v>Базовые виды спорта</x:v>
      </x:c>
      <x:c r="C4" s="14" t="str">
        <x:v>Спорт</x:v>
      </x:c>
      <x:c r="D4" s="14" t="str">
        <x:v>Сферы и виды спорта</x:v>
      </x:c>
      <x:c r="E4" s="14" t="str">
        <x:v>Вид спорта</x:v>
      </x:c>
      <x:c r="F4" s="14" t="str">
        <x:v>Is-A</x:v>
      </x:c>
      <x:c r="G4" s="14" t="str">
        <x:v>Олимпийский статус / Традиции</x:v>
      </x:c>
      <x:c r="H4" s="14" t="str">
        <x:v>Смешение критериев: олимпийский статус + исторические традиции субъектов РФ.</x:v>
      </x:c>
      <x:c r="I4" s="14" t="str">
        <x:v>Нет</x:v>
      </x:c>
      <x:c r="J4" s="14" t="str"/>
      <x:c r="K4" s="14" t="str"/>
      <x:c r="L4" s="14" t="str"/>
      <x:c r="M4" s="14" t="str">
        <x:v>REVIEW</x:v>
      </x:c>
      <x:c r="N4" s="14" t="str"/>
      <x:c r="O4" s="14" t="str"/>
      <x:c r="P4" s="14" t="str"/>
      <x:c r="Q4" s="14" t="str"/>
    </x:row>
    <x:row r="5">
      <x:c r="A5" s="14" t="n">
        <x:v>4</x:v>
      </x:c>
      <x:c r="B5" s="14" t="str">
        <x:v>Вид спорта</x:v>
      </x:c>
      <x:c r="C5" s="14" t="str">
        <x:v>Спорт</x:v>
      </x:c>
      <x:c r="D5" s="14" t="str">
        <x:v>Сферы и виды спорта</x:v>
      </x:c>
      <x:c r="E5" s="14" t="str">
        <x:v>Спорт</x:v>
      </x:c>
      <x:c r="F5" s="14" t="str">
        <x:v>Part-Of</x:v>
      </x:c>
      <x:c r="G5" s="14" t="str">
        <x:v>Предмет состязания</x:v>
      </x:c>
      <x:c r="H5" s="14" t="str">
        <x:v>Круг в определении (определяется как часть спорта, а спорт — как совокупность видов спорта).</x:v>
      </x:c>
      <x:c r="I5" s="14" t="str">
        <x:v>Да</x:v>
      </x:c>
      <x:c r="J5" s="14" t="str">
        <x:v>ВИД СПОРТА</x:v>
      </x:c>
      <x:c r="K5" s="14" t="str">
        <x:v>часть спорта, которая признана в соответствии с требованиями настоящего Федерального закона обособленной сферой общественных отношений, имеющей соответствующие правила, утвержденные в установленном настоящим Федеральным законом порядке, среду занятий, используемый спортивный инвентарь (без учета защитных средств) и оборудование;</x:v>
      </x:c>
      <x:c r="L5" s="14" t="str">
        <x:v>часть спорта, которая признана в соответствии с требованиями настоящего Федерального закона обособленной сферой общественных отношений, имеющей соответствующие правила соревнований,</x:v>
      </x:c>
      <x:c r="M5" s="14" t="str">
        <x:v>REDEFINE</x:v>
      </x:c>
      <x:c r="N5" s="14" t="str"/>
      <x:c r="O5" s="14" t="str"/>
      <x:c r="P5" s="14" t="str"/>
      <x:c r="Q5" s="14" t="str"/>
    </x:row>
    <x:row r="6">
      <x:c r="A6" s="14" t="n">
        <x:v>5</x:v>
      </x:c>
      <x:c r="B6" s="14" t="str">
        <x:v>Комплекс ГТО</x:v>
      </x:c>
      <x:c r="C6" s="14" t="str">
        <x:v>Физическая культура</x:v>
      </x:c>
      <x:c r="D6" s="14" t="str">
        <x:v>Инфраструктура и Нормы</x:v>
      </x:c>
      <x:c r="E6" s="14" t="str">
        <x:v>Физическое воспитание</x:v>
      </x:c>
      <x:c r="F6" s="14" t="str">
        <x:v>Attribute</x:v>
      </x:c>
      <x:c r="G6" s="14" t="str">
        <x:v>Государственная программа</x:v>
      </x:c>
      <x:c r="H6" s="14" t="str">
        <x:v>Конкретный государственный институт внедрен в базовый понятийный закон.</x:v>
      </x:c>
      <x:c r="I6" s="14" t="str">
        <x:v>Нет</x:v>
      </x:c>
      <x:c r="J6" s="14" t="str"/>
      <x:c r="K6" s="14" t="str"/>
      <x:c r="L6" s="14" t="str"/>
      <x:c r="M6" s="14" t="str">
        <x:v>REVIEW</x:v>
      </x:c>
      <x:c r="N6" s="14" t="str"/>
      <x:c r="O6" s="14" t="str"/>
      <x:c r="P6" s="14" t="str"/>
      <x:c r="Q6" s="14" t="str"/>
    </x:row>
    <x:row r="7">
      <x:c r="A7" s="14" t="n">
        <x:v>6</x:v>
      </x:c>
      <x:c r="B7" s="14" t="str">
        <x:v>Военно-прикладные и служебно-прикладные виды спорта</x:v>
      </x:c>
      <x:c r="C7" s="14" t="str">
        <x:v>Спорт</x:v>
      </x:c>
      <x:c r="D7" s="14" t="str">
        <x:v>Сферы и виды спорта</x:v>
      </x:c>
      <x:c r="E7" s="14" t="str">
        <x:v>Вид спорта</x:v>
      </x:c>
      <x:c r="F7" s="14" t="str">
        <x:v>Is-A</x:v>
      </x:c>
      <x:c r="G7" s="14" t="str">
        <x:v>Служебный статус участников</x:v>
      </x:c>
      <x:c r="H7" s="14" t="str">
        <x:v>Деление не по специфике движений, а по субъектному составу (военнослужащие).</x:v>
      </x:c>
      <x:c r="I7" s="14" t="str">
        <x:v>Да</x:v>
      </x:c>
      <x:c r="J7" s="14" t="str">
        <x:v>ВОЕННО-ПРИКЛАДНЫЕ И СЛУЖЕБНО-ПРИКЛАДНЫЕ ВИДЫ СПОРТА</x:v>
      </x:c>
      <x:c r="K7" s="14" t="str">
        <x:v>виды спорта, основой которых являются специальные действия (в том числе приемы), связанные с выполнением военнослужащими и сотрудниками некоторых федеральных органов исполнительной власти (далее - лица, проходящие специальную службу) своих служебных обязанностей, подготовкой граждан допризывного и призывного возрастов к военной службе, и которые развиваются в рамках деятельности одного или нескольких федеральных органов исполнительной власти;</x:v>
      </x:c>
      <x:c r="L7" s="14" t="str">
        <x:v>виды спорта, основой которых являются специальные действия (в том числе приемы), связанные с выполнением военнослужащими и сотрудниками некоторых федеральных органов исполнительной власти (далее - лица, проходящие специальную службу) своих служебных обязанностей, подготовкой граждан допризывного и призывного возрастов к военной службе, и которые развиваются в рамках деятельности одного или нескольких федеральных органов исполнительной власти;</x:v>
      </x:c>
      <x:c r="M7" s="14" t="str">
        <x:v>KEEP</x:v>
      </x:c>
      <x:c r="N7" s="14" t="str"/>
      <x:c r="O7" s="14" t="str"/>
      <x:c r="P7" s="14" t="str"/>
      <x:c r="Q7" s="14" t="str"/>
    </x:row>
    <x:row r="8">
      <x:c r="A8" s="14" t="n">
        <x:v>7</x:v>
      </x:c>
      <x:c r="B8" s="14" t="str">
        <x:v>Добровольцы (волонтеры)</x:v>
      </x:c>
      <x:c r="C8" s="14" t="str">
        <x:v>Спорт</x:v>
      </x:c>
      <x:c r="D8" s="14" t="str">
        <x:v>Субъекты</x:v>
      </x:c>
      <x:c r="E8" s="14" t="str">
        <x:v>Физические лица</x:v>
      </x:c>
      <x:c r="F8" s="14" t="str">
        <x:v>Role</x:v>
      </x:c>
      <x:c r="G8" s="14" t="str">
        <x:v>Правовая форма участия</x:v>
      </x:c>
      <x:c r="H8" s="14" t="str">
        <x:v>Определение через гражданско-правовой договор, а не спортивную функцию.</x:v>
      </x:c>
      <x:c r="I8" s="14" t="str">
        <x:v>Нет</x:v>
      </x:c>
      <x:c r="J8" s="14" t="str"/>
      <x:c r="K8" s="14" t="str"/>
      <x:c r="L8" s="14" t="str"/>
      <x:c r="M8" s="14" t="str">
        <x:v>REVIEW</x:v>
      </x:c>
      <x:c r="N8" s="14" t="str"/>
      <x:c r="O8" s="14" t="str"/>
      <x:c r="P8" s="14" t="str"/>
      <x:c r="Q8" s="14" t="str"/>
    </x:row>
    <x:row r="9">
      <x:c r="A9" s="14" t="n">
        <x:v>8</x:v>
      </x:c>
      <x:c r="B9" s="14" t="str">
        <x:v>Детско-юношеский спорт</x:v>
      </x:c>
      <x:c r="C9" s="14" t="str">
        <x:v>Спорт</x:v>
      </x:c>
      <x:c r="D9" s="14" t="str">
        <x:v>Сферы и виды спорта</x:v>
      </x:c>
      <x:c r="E9" s="14" t="str">
        <x:v>Спорт</x:v>
      </x:c>
      <x:c r="F9" s="14" t="str">
        <x:v>Is-A</x:v>
      </x:c>
      <x:c r="G9" s="14" t="str">
        <x:v>Возраст (&lt;18 лет)</x:v>
      </x:c>
      <x:c r="H9" s="14" t="str">
        <x:v>Пересечение со школьным и массовым спортом по возрасту.</x:v>
      </x:c>
      <x:c r="I9" s="14" t="str">
        <x:v>Да</x:v>
      </x:c>
      <x:c r="J9" s="14" t="str">
        <x:v>ДЕТСКО-ЮНОШЕСКИЙ СПОРТ</x:v>
      </x:c>
      <x:c r="K9" s="14" t="str">
        <x:v>часть спорта, направленная на физическое воспитание и физическую подготовку лиц, не достигших возраста восемнадцати лет, посредством их участия в организованных и (или) самостоятельных занятиях, физкультурных мероприятиях и спортивных мероприятиях, а также на подготовку спортивного резерва;</x:v>
      </x:c>
      <x:c r="L9" s="14" t="str">
        <x:v>форма организации общественных отношений направленная на физическое воспитание и спортивную подготовку граждан, не достигших возраста восемнадцати лет,</x:v>
      </x:c>
      <x:c r="M9" s="14" t="str">
        <x:v>REDEFINE</x:v>
      </x:c>
      <x:c r="N9" s="14" t="str"/>
      <x:c r="O9" s="14" t="str"/>
      <x:c r="P9" s="14" t="str"/>
      <x:c r="Q9" s="14" t="str"/>
    </x:row>
    <x:row r="10">
      <x:c r="A10" s="14" t="n">
        <x:v>9</x:v>
      </x:c>
      <x:c r="B10" s="14" t="str">
        <x:v>Животные, участвующие в спортивных соревнованиях</x:v>
      </x:c>
      <x:c r="C10" s="14" t="str">
        <x:v>Спорт</x:v>
      </x:c>
      <x:c r="D10" s="14" t="str">
        <x:v>Инфраструктура и Нормы</x:v>
      </x:c>
      <x:c r="E10" s="14" t="str">
        <x:v>Спортивное соревнование</x:v>
      </x:c>
      <x:c r="F10" s="14" t="str">
        <x:v>Attribute</x:v>
      </x:c>
      <x:c r="G10" s="14" t="str">
        <x:v>Правила вида спорта</x:v>
      </x:c>
      <x:c r="H10" s="14" t="str">
        <x:v>Категориальная ошибка: животное не субъект и не объект права в нормативном смысле.</x:v>
      </x:c>
      <x:c r="I10" s="14" t="str">
        <x:v>Нет</x:v>
      </x:c>
      <x:c r="J10" s="14" t="str"/>
      <x:c r="K10" s="14" t="str"/>
      <x:c r="L10" s="14" t="str"/>
      <x:c r="M10" s="14" t="str">
        <x:v>REVIEW</x:v>
      </x:c>
      <x:c r="N10" s="14" t="str"/>
      <x:c r="O10" s="14" t="str"/>
      <x:c r="P10" s="14" t="str"/>
      <x:c r="Q10" s="14" t="str"/>
    </x:row>
    <x:row r="11">
      <x:c r="A11" s="14" t="n">
        <x:v>10</x:v>
      </x:c>
      <x:c r="B11" s="14" t="str">
        <x:v>Зрители</x:v>
      </x:c>
      <x:c r="C11" s="14" t="str">
        <x:v>Спорт</x:v>
      </x:c>
      <x:c r="D11" s="14" t="str">
        <x:v>Субъекты</x:v>
      </x:c>
      <x:c r="E11" s="14" t="str">
        <x:v>Физические лица</x:v>
      </x:c>
      <x:c r="F11" s="14" t="str">
        <x:v>Role</x:v>
      </x:c>
      <x:c r="G11" s="14" t="str">
        <x:v>Местонахождение</x:v>
      </x:c>
      <x:c r="H11" s="14" t="str">
        <x:v>Определение «от противного» (все, кто находится на объекте и не является участником).</x:v>
      </x:c>
      <x:c r="I11" s="14" t="str">
        <x:v>Да</x:v>
      </x:c>
      <x:c r="J11" s="14" t="str">
        <x:v>ЗРИТЕЛИ ФИЗКУЛЬТУРНО-СПОРТИВНЫХ МЕРОПРИЯТИЙ</x:v>
      </x:c>
      <x:c r="K11" s="14" t="str">
        <x:v>физические лица, находящиеся в месте проведения официального спортивного соревнования, не являющиеся его участниками и иным образом не задействованные в проведении такого соревнования, в том числе в обеспечении общественного порядка и общественной безопасности при проведении такого соревнования;</x:v>
      </x:c>
      <x:c r="L11" s="14" t="str">
        <x:v>физические лица, находящиеся в месте проведения официального спортивного соревнования, не являющиеся его участниками и иным образом не задействованные в проведении такого соревнования, в том числе в обеспечении общественного порядка и общественной безопасности при проведении такого соревнования;</x:v>
      </x:c>
      <x:c r="M11" s="14" t="str">
        <x:v>KEEP</x:v>
      </x:c>
      <x:c r="N11" s="14" t="str"/>
      <x:c r="O11" s="14" t="str"/>
      <x:c r="P11" s="14" t="str"/>
      <x:c r="Q11" s="14" t="str"/>
    </x:row>
    <x:row r="12">
      <x:c r="A12" s="14" t="n">
        <x:v>11</x:v>
      </x:c>
      <x:c r="B12" s="14" t="str">
        <x:v>Контролер-распорядитель</x:v>
      </x:c>
      <x:c r="C12" s="14" t="str">
        <x:v>Спорт</x:v>
      </x:c>
      <x:c r="D12" s="14" t="str">
        <x:v>Субъекты</x:v>
      </x:c>
      <x:c r="E12" s="14" t="str">
        <x:v>Физические лица</x:v>
      </x:c>
      <x:c r="F12" s="14" t="str">
        <x:v>Role</x:v>
      </x:c>
      <x:c r="G12" s="14" t="str">
        <x:v>Наличие удостоверения</x:v>
      </x:c>
      <x:c r="H12" s="14" t="str">
        <x:v>Определение через наличие документа, а не через трудовую функцию.</x:v>
      </x:c>
      <x:c r="I12" s="14" t="str">
        <x:v>Нет</x:v>
      </x:c>
      <x:c r="J12" s="14" t="str"/>
      <x:c r="K12" s="14" t="str"/>
      <x:c r="L12" s="14" t="str"/>
      <x:c r="M12" s="14" t="str">
        <x:v>REVIEW</x:v>
      </x:c>
      <x:c r="N12" s="14" t="str"/>
      <x:c r="O12" s="14" t="str"/>
      <x:c r="P12" s="14" t="str"/>
      <x:c r="Q12" s="14" t="str"/>
    </x:row>
    <x:row r="13">
      <x:c r="A13" s="14" t="n">
        <x:v>12</x:v>
      </x:c>
      <x:c r="B13" s="14" t="str">
        <x:v>Корпоративный спорт</x:v>
      </x:c>
      <x:c r="C13" s="14" t="str">
        <x:v>Спорт</x:v>
      </x:c>
      <x:c r="D13" s="14" t="str">
        <x:v>Сферы и виды спорта</x:v>
      </x:c>
      <x:c r="E13" s="14" t="str">
        <x:v>Массовый спорт</x:v>
      </x:c>
      <x:c r="F13" s="14" t="str">
        <x:v>Is-A</x:v>
      </x:c>
      <x:c r="G13" s="14" t="str">
        <x:v>Место работы / Профессия</x:v>
      </x:c>
      <x:c r="H13" s="14" t="str">
        <x:v>Пересечение: одновременно массовый и корпоративный спорт.</x:v>
      </x:c>
      <x:c r="I13" s="14" t="str">
        <x:v>Да</x:v>
      </x:c>
      <x:c r="J13" s="14" t="str">
        <x:v>КОРПОРАТИВНЫЙ СПОРТ</x:v>
      </x:c>
      <x:c r="K13" s="14" t="str">
        <x:v>часть массового спорта, направленная на физическую подготовку, физическое развитие работников, членов их семей, а также на организацию и проведение физкультурных мероприятий и спортивных мероприятий среди указанных работников, членов их семей, в том числе реализуемая при содействии работодателей, физкультурно-спортивных обществ;</x:v>
      </x:c>
      <x:c r="L13" s="14" t="str">
        <x:v>форма организации общественных отношений при участии работодателя и направленная на физическое воспитание и спортивную подготовку работников корпорации и членов их семей.</x:v>
      </x:c>
      <x:c r="M13" s="14" t="str">
        <x:v>REDEFINE</x:v>
      </x:c>
      <x:c r="N13" s="14" t="str"/>
      <x:c r="O13" s="14" t="str"/>
      <x:c r="P13" s="14" t="str"/>
      <x:c r="Q13" s="14" t="str"/>
    </x:row>
    <x:row r="14">
      <x:c r="A14" s="14" t="n">
        <x:v>13</x:v>
      </x:c>
      <x:c r="B14" s="14" t="str">
        <x:v>Любительский спорт</x:v>
      </x:c>
      <x:c r="C14" s="14" t="str">
        <x:v>Спорт</x:v>
      </x:c>
      <x:c r="D14" s="14" t="str">
        <x:v>Сферы и виды спорта</x:v>
      </x:c>
      <x:c r="E14" s="14" t="str">
        <x:v>Массовый спорт</x:v>
      </x:c>
      <x:c r="F14" s="14" t="str">
        <x:v>Is-A</x:v>
      </x:c>
      <x:c r="G14" s="14" t="str">
        <x:v>Отсутствие дохода</x:v>
      </x:c>
      <x:c r="H14" s="14" t="str">
        <x:v>Определение через отрицание («не направлен на доход», «не связан со сборными»).</x:v>
      </x:c>
      <x:c r="I14" s="14" t="str">
        <x:v>Да</x:v>
      </x:c>
      <x:c r="J14" s="14" t="str">
        <x:v>ЛЮБИТЕЛЬСКИЙ СПОРТ</x:v>
      </x:c>
      <x:c r="K14" s="14" t="str">
        <x:v>часть массового спорта, направленная на организацию и проведение спортивных соревнований, которые не связаны с подготовкой спортивных сборных команд Российской Федерации и спортивных сборных команд субъектов Российской Федерации и участие в которых не направлено на систематическое получение дохода и не является трудовой функцией спортсменов, принимающих участие в таких соревнованиях (далее - любительские спортивные соревнования);</x:v>
      </x:c>
      <x:c r="L14" s="14" t="str">
        <x:v>форма организации общественных отношений направленная на физическое воспитание и спортивную подготовку лиц, не получающих систематического дохода от своего участия в соревнованиях и осуществления трудовых функций спортсмена.</x:v>
      </x:c>
      <x:c r="M14" s="14" t="str">
        <x:v>REDEFINE</x:v>
      </x:c>
      <x:c r="N14" s="14" t="str"/>
      <x:c r="O14" s="14" t="str"/>
      <x:c r="P14" s="14" t="str"/>
      <x:c r="Q14" s="14" t="str"/>
    </x:row>
    <x:row r="15">
      <x:c r="A15" s="14" t="n">
        <x:v>14</x:v>
      </x:c>
      <x:c r="B15" s="14" t="str">
        <x:v>Любительская спортивная лига</x:v>
      </x:c>
      <x:c r="C15" s="14" t="str">
        <x:v>Спорт</x:v>
      </x:c>
      <x:c r="D15" s="14" t="str">
        <x:v>Субъекты</x:v>
      </x:c>
      <x:c r="E15" s="14" t="str">
        <x:v>Организации и объединения</x:v>
      </x:c>
      <x:c r="F15" s="14" t="str">
        <x:v>Is-A</x:v>
      </x:c>
      <x:c r="G15" s="14" t="str">
        <x:v>Статус НКО / Цель</x:v>
      </x:c>
      <x:c r="H15" s="14" t="str">
        <x:v>Организационно-правовое понятие НКО внесено в понятийный аппарат спорта.</x:v>
      </x:c>
      <x:c r="I15" s="14" t="str">
        <x:v>Нет</x:v>
      </x:c>
      <x:c r="J15" s="14" t="str"/>
      <x:c r="K15" s="14" t="str"/>
      <x:c r="L15" s="14" t="str"/>
      <x:c r="M15" s="14" t="str">
        <x:v>REVIEW</x:v>
      </x:c>
      <x:c r="N15" s="14" t="str"/>
      <x:c r="O15" s="14" t="str"/>
      <x:c r="P15" s="14" t="str"/>
      <x:c r="Q15" s="14" t="str"/>
    </x:row>
    <x:row r="16">
      <x:c r="A16" s="14" t="n">
        <x:v>15</x:v>
      </x:c>
      <x:c r="B16" s="14" t="str">
        <x:v>Массовый спорт</x:v>
      </x:c>
      <x:c r="C16" s="14" t="str">
        <x:v>Спорт</x:v>
      </x:c>
      <x:c r="D16" s="14" t="str">
        <x:v>Сферы и виды спорта</x:v>
      </x:c>
      <x:c r="E16" s="14" t="str">
        <x:v>Спорт</x:v>
      </x:c>
      <x:c r="F16" s="14" t="str">
        <x:v>Is-A</x:v>
      </x:c>
      <x:c r="G16" s="14" t="str">
        <x:v>Масштаб и цель</x:v>
      </x:c>
      <x:c r="H16" s="14" t="str">
        <x:v>Смешивается с физической культурой; тавтология в определении.</x:v>
      </x:c>
      <x:c r="I16" s="14" t="str">
        <x:v>Да</x:v>
      </x:c>
      <x:c r="J16" s="14" t="str">
        <x:v>МАССОВЫЙ СПОРТ</x:v>
      </x:c>
      <x:c r="K16" s="14" t="str">
        <x:v>часть спорта, направленная на физическое воспитание и физическую подготовку граждан посредством их вовлечения в систематические занятия физической культурой и спортом путем предоставления возможности для проведения организованных и (или) самостоятельных занятий и (или) для участия в физкультурных мероприятиях и спортивных соревнованиях;</x:v>
      </x:c>
      <x:c r="L16" s="14" t="str">
        <x:v>форма организации общественных отношений направленная на физическое воспитание и массовое вовлечение граждан различных возрастов в спортивную подготовку.</x:v>
      </x:c>
      <x:c r="M16" s="14" t="str">
        <x:v>REDEFINE</x:v>
      </x:c>
      <x:c r="N16" s="14" t="str"/>
      <x:c r="O16" s="14" t="str"/>
      <x:c r="P16" s="14" t="str"/>
      <x:c r="Q16" s="14" t="str"/>
    </x:row>
    <x:row r="17">
      <x:c r="A17" s="14" t="n">
        <x:v>16</x:v>
      </x:c>
      <x:c r="B17" s="14" t="str">
        <x:v>Место проведения официального спортивного соревнования</x:v>
      </x:c>
      <x:c r="C17" s="14" t="str">
        <x:v>Спорт</x:v>
      </x:c>
      <x:c r="D17" s="14" t="str">
        <x:v>Инфраструктура и Нормы</x:v>
      </x:c>
      <x:c r="E17" s="14" t="str">
        <x:v>Объект спорта</x:v>
      </x:c>
      <x:c r="F17" s="14" t="str">
        <x:v>Is-A</x:v>
      </x:c>
      <x:c r="G17" s="14" t="str">
        <x:v>Пространственный охват</x:v>
      </x:c>
      <x:c r="H17" s="14" t="str">
        <x:v>Размывание понятия: объект недвижимости смешивается с воздушным пространством.</x:v>
      </x:c>
      <x:c r="I17" s="14" t="str">
        <x:v>Да</x:v>
      </x:c>
      <x:c r="J17" s="14" t="str">
        <x:v>МЕСТО ПРОВЕДЕНИЯ ОФИЦИАЛЬНОГО СПОРТИВНОГО СОРЕВНОВАНИЯ</x:v>
      </x:c>
      <x:c r="K17" s="14" t="str">
        <x:v>объект спорта, а также территории, специально подготовленные для проведения официального спортивного соревнования, включая природные, природно-антропогенные и антропогенные объекты, воздушное пространство над ними;</x:v>
      </x:c>
      <x:c r="L17" s="14" t="str">
        <x:v>объект спорта, а также территории, специально подготовленные для проведения официального спортивного соревнования, включая природные, природно-антропогенные и антропогенные объекты, воздушное пространство над ними;</x:v>
      </x:c>
      <x:c r="M17" s="14" t="str">
        <x:v>KEEP</x:v>
      </x:c>
      <x:c r="N17" s="14" t="str"/>
      <x:c r="O17" s="14" t="str"/>
      <x:c r="P17" s="14" t="str"/>
      <x:c r="Q17" s="14" t="str"/>
    </x:row>
    <x:row r="18">
      <x:c r="A18" s="14" t="n">
        <x:v>17</x:v>
      </x:c>
      <x:c r="B18" s="14" t="str">
        <x:v>Национальные виды спорта</x:v>
      </x:c>
      <x:c r="C18" s="14" t="str">
        <x:v>Спорт</x:v>
      </x:c>
      <x:c r="D18" s="14" t="str">
        <x:v>Сферы и виды спорта</x:v>
      </x:c>
      <x:c r="E18" s="14" t="str">
        <x:v>Вид спорта</x:v>
      </x:c>
      <x:c r="F18" s="14" t="str">
        <x:v>Is-A</x:v>
      </x:c>
      <x:c r="G18" s="14" t="str">
        <x:v>Этнос и география</x:v>
      </x:c>
      <x:c r="H18" s="14" t="str">
        <x:v>Деление по этнокультурному признаку.</x:v>
      </x:c>
      <x:c r="I18" s="14" t="str">
        <x:v>Да</x:v>
      </x:c>
      <x:c r="J18" s="14" t="str">
        <x:v>НАЦИОНАЛЬНЫЕ ВИДЫ СПОРТА</x:v>
      </x:c>
      <x:c r="K18" s="14" t="str">
        <x:v>виды спорта, исторически сложившиеся в этнических группах населения, имеющие социально-культурную направленность и развивающиеся на территории Российской Федерации;</x:v>
      </x:c>
      <x:c r="L18" s="14" t="str">
        <x:v>форма организации общественных отношений, исторически сложившиеся на территории Российской Федерации в этнических группах населения и направленная на сохранение культурных традиций, физическое воспитание, спортивную подготовку граждан и признанная в соответствии с требованиями настоящего Федерального закона видом спорта, имеющем соответствующие правила соревнований,</x:v>
      </x:c>
      <x:c r="M18" s="14" t="str">
        <x:v>REDEFINE</x:v>
      </x:c>
      <x:c r="N18" s="14" t="str"/>
      <x:c r="O18" s="14" t="str"/>
      <x:c r="P18" s="14" t="str"/>
      <x:c r="Q18" s="14" t="str"/>
    </x:row>
    <x:row r="19">
      <x:c r="A19" s="14" t="n">
        <x:v>18</x:v>
      </x:c>
      <x:c r="B19" s="14" t="str">
        <x:v>Общероссийская спортивная федерация</x:v>
      </x:c>
      <x:c r="C19" s="14" t="str">
        <x:v>Спорт</x:v>
      </x:c>
      <x:c r="D19" s="14" t="str">
        <x:v>Субъекты</x:v>
      </x:c>
      <x:c r="E19" s="14" t="str">
        <x:v>Спортивная федерация</x:v>
      </x:c>
      <x:c r="F19" s="14" t="str">
        <x:v>Is-A</x:v>
      </x:c>
      <x:c r="G19" s="14" t="str">
        <x:v>Уровень аккредитации</x:v>
      </x:c>
      <x:c r="H19" s="14" t="str">
        <x:v>Иерархический дубликат общего понятия «спортивная федерация».</x:v>
      </x:c>
      <x:c r="I19" s="14" t="str">
        <x:v>Да</x:v>
      </x:c>
      <x:c r="J19" s="14" t="str">
        <x:v>ОБЩЕРОССИЙСКАЯ СПОРТИВНАЯ ФЕДЕРАЦИЯ</x:v>
      </x:c>
      <x:c r="K19" s="14" t="str">
        <x:v>общероссийская общественная организация, которая создана на основе членства, получила государственную аккредитацию и целями которой являются развитие одного или нескольких видов спорта на территории Российской Федерации, их пропаганда, организация, проведение спортивных мероприятий и подготовка спортсменов - членов спортивных сборных команд Российской Федерации;</x:v>
      </x:c>
      <x:c r="L19" s="14" t="str">
        <x:v>общероссийская общественная организация, которая создана на основе членства, получила государственную аккредитацию и целями которой являются развитие одного или нескольких видов спорта на территории Российской Федерации, их пропаганда, организация, проведение спортивных мероприятий и подготовка спортсменов - членов спортивных сборных команд Российской Федерации;</x:v>
      </x:c>
      <x:c r="M19" s="14" t="str">
        <x:v>KEEP</x:v>
      </x:c>
      <x:c r="N19" s="14" t="str"/>
      <x:c r="O19" s="14" t="str"/>
      <x:c r="P19" s="14" t="str"/>
      <x:c r="Q19" s="14" t="str"/>
    </x:row>
    <x:row r="20">
      <x:c r="A20" s="14" t="n">
        <x:v>19</x:v>
      </x:c>
      <x:c r="B20" s="14" t="str">
        <x:v>Региональная спортивная федерация</x:v>
      </x:c>
      <x:c r="C20" s="14" t="str">
        <x:v>Спорт</x:v>
      </x:c>
      <x:c r="D20" s="14" t="str">
        <x:v>Субъекты</x:v>
      </x:c>
      <x:c r="E20" s="14" t="str">
        <x:v>Спортивная федерация</x:v>
      </x:c>
      <x:c r="F20" s="14" t="str">
        <x:v>Is-A</x:v>
      </x:c>
      <x:c r="G20" s="14" t="str">
        <x:v>Уровень субъекта РФ</x:v>
      </x:c>
      <x:c r="H20" s="14" t="str">
        <x:v>В подчинение общероссийской федерации ставится отдельное НКО.</x:v>
      </x:c>
      <x:c r="I20" s="14" t="str">
        <x:v>Да</x:v>
      </x:c>
      <x:c r="J20" s="14" t="str">
        <x:v>РЕГИОНАЛЬНАЯ СПОРТИВНАЯ ФЕДЕРАЦИЯ</x:v>
      </x:c>
      <x:c r="K20" s="14" t="str">
        <x:v>региональная общественная организация, являющаяся членом общероссийской спортивной федерации (далее - региональная общественная организация), или структурное подразделение (региональное отделение) общероссийской спортивной федерации, которые получили государственную аккредитацию и целями которых являются развитие одного или нескольких видов спорта на территории субъекта Российской Федерации, их пропаганда, организация, проведение спортивных мероприятий и подготовка спортсменов - членов спортивных сборных команд субъекта Российской Федерации;</x:v>
      </x:c>
      <x:c r="L20" s="14" t="str">
        <x:v>региональная общественная организация, являющаяся членом общероссийской спортивной федерации (далее - региональная общественная организация), или структурное подразделение (региональное отделение) общероссийской спортивной федерации, которые получили государственную аккредитацию и целями которых являются развитие одного или нескольких видов спорта на территории субъекта Российской Федерации, их пропаганда, организация, проведение спортивных мероприятий и подготовка спортсменов - членов спортивных сборных команд субъекта Российской Федерации;</x:v>
      </x:c>
      <x:c r="M20" s="14" t="str">
        <x:v>KEEP</x:v>
      </x:c>
      <x:c r="N20" s="14" t="str"/>
      <x:c r="O20" s="14" t="str"/>
      <x:c r="P20" s="14" t="str"/>
      <x:c r="Q20" s="14" t="str"/>
    </x:row>
    <x:row r="21">
      <x:c r="A21" s="14" t="n">
        <x:v>20</x:v>
      </x:c>
      <x:c r="B21" s="14" t="str">
        <x:v>Физкультурно-спортивное общество</x:v>
      </x:c>
      <x:c r="C21" s="14" t="str">
        <x:v>Спорт</x:v>
      </x:c>
      <x:c r="D21" s="14" t="str">
        <x:v>Субъекты</x:v>
      </x:c>
      <x:c r="E21" s="14" t="str">
        <x:v>Физкультурно-спортивная организация</x:v>
      </x:c>
      <x:c r="F21" s="14" t="str">
        <x:v>Is-A</x:v>
      </x:c>
      <x:c r="G21" s="14" t="str">
        <x:v>Отрасль / Профессия</x:v>
      </x:c>
      <x:c r="H21" s="14" t="str">
        <x:v>Определяется через отраслевую принадлежность участников.</x:v>
      </x:c>
      <x:c r="I21" s="14" t="str">
        <x:v>Нет</x:v>
      </x:c>
      <x:c r="J21" s="14" t="str"/>
      <x:c r="K21" s="14" t="str"/>
      <x:c r="L21" s="14" t="str"/>
      <x:c r="M21" s="14" t="str">
        <x:v>REVIEW</x:v>
      </x:c>
      <x:c r="N21" s="14" t="str"/>
      <x:c r="O21" s="14" t="str"/>
      <x:c r="P21" s="14" t="str"/>
      <x:c r="Q21" s="14" t="str"/>
    </x:row>
    <x:row r="22">
      <x:c r="A22" s="14" t="n">
        <x:v>21</x:v>
      </x:c>
      <x:c r="B22" s="14" t="str">
        <x:v>Объект спорта</x:v>
      </x:c>
      <x:c r="C22" s="14" t="str">
        <x:v>Физическая культура</x:v>
      </x:c>
      <x:c r="D22" s="14" t="str">
        <x:v>Инфраструктура и Нормы</x:v>
      </x:c>
      <x:c r="E22" s="14" t="str">
        <x:v>Физическая культура</x:v>
      </x:c>
      <x:c r="F22" s="14" t="str">
        <x:v>Root</x:v>
      </x:c>
      <x:c r="G22" s="14" t="str">
        <x:v>Недвижимое имущество</x:v>
      </x:c>
      <x:c r="H22" s="14" t="str">
        <x:v>Понятие физической культуры сужается до гражданско-правовой категории недвижимости.</x:v>
      </x:c>
      <x:c r="I22" s="14" t="str">
        <x:v>Да</x:v>
      </x:c>
      <x:c r="J22" s="14" t="str">
        <x:v>ОБЪЕКТ СПОРТА</x:v>
      </x:c>
      <x:c r="K22" s="14" t="str">
        <x:v>объект недвижимого имущества или единый недвижимый комплекс, предназначенные для проведения физкультурных мероприятий и (или) спортивных мероприятий, в том числе спортивное сооружение, являющееся объектом недвижимого имущества;</x:v>
      </x:c>
      <x:c r="L22" s="14" t="str">
        <x:v>объект недвижимого имущества или единый недвижимый комплекс, предназначенные для проведения физкультурных и спортивных мероприятий, в том числе спортивное сооружение, являющееся объектом недвижимого имущества;</x:v>
      </x:c>
      <x:c r="M22" s="14" t="str">
        <x:v>REDEFINE</x:v>
      </x:c>
      <x:c r="N22" s="14" t="str"/>
      <x:c r="O22" s="14" t="str"/>
      <x:c r="P22" s="14" t="str"/>
      <x:c r="Q22" s="14" t="str"/>
    </x:row>
    <x:row r="23">
      <x:c r="A23" s="14" t="n">
        <x:v>22</x:v>
      </x:c>
      <x:c r="B23" s="14" t="str">
        <x:v>Олимпийская делегация РФ</x:v>
      </x:c>
      <x:c r="C23" s="14" t="str">
        <x:v>Спорт</x:v>
      </x:c>
      <x:c r="D23" s="14" t="str">
        <x:v>Субъекты</x:v>
      </x:c>
      <x:c r="E23" s="14" t="str">
        <x:v>Коллективные субъекты</x:v>
      </x:c>
      <x:c r="F23" s="14" t="str">
        <x:v>Part-Of</x:v>
      </x:c>
      <x:c r="G23" s="14" t="str">
        <x:v>Состав представителей</x:v>
      </x:c>
      <x:c r="H23" s="14" t="str">
        <x:v>Составное понятие: объединяет спортсменов, чиновников и функционеров.</x:v>
      </x:c>
      <x:c r="I23" s="14" t="str">
        <x:v>Нет</x:v>
      </x:c>
      <x:c r="J23" s="14" t="str"/>
      <x:c r="K23" s="14" t="str"/>
      <x:c r="L23" s="14" t="str"/>
      <x:c r="M23" s="14" t="str">
        <x:v>REVIEW</x:v>
      </x:c>
      <x:c r="N23" s="14" t="str"/>
      <x:c r="O23" s="14" t="str"/>
      <x:c r="P23" s="14" t="str"/>
      <x:c r="Q23" s="14" t="str"/>
    </x:row>
    <x:row r="24">
      <x:c r="A24" s="14" t="n">
        <x:v>23</x:v>
      </x:c>
      <x:c r="B24" s="14" t="str">
        <x:v>Олимпийская команда России</x:v>
      </x:c>
      <x:c r="C24" s="14" t="str">
        <x:v>Спорт</x:v>
      </x:c>
      <x:c r="D24" s="14" t="str">
        <x:v>Субъекты</x:v>
      </x:c>
      <x:c r="E24" s="14" t="str">
        <x:v>Олимпийская делегация РФ</x:v>
      </x:c>
      <x:c r="F24" s="14" t="str">
        <x:v>Part-Of</x:v>
      </x:c>
      <x:c r="G24" s="14" t="str">
        <x:v>Состав соревнующихся</x:v>
      </x:c>
      <x:c r="H24" s="14" t="str">
        <x:v>Подмножество олимпийской делегации.</x:v>
      </x:c>
      <x:c r="I24" s="14" t="str">
        <x:v>Нет</x:v>
      </x:c>
      <x:c r="J24" s="14" t="str"/>
      <x:c r="K24" s="14" t="str"/>
      <x:c r="L24" s="14" t="str"/>
      <x:c r="M24" s="14" t="str">
        <x:v>REVIEW</x:v>
      </x:c>
      <x:c r="N24" s="14" t="str"/>
      <x:c r="O24" s="14" t="str"/>
      <x:c r="P24" s="14" t="str"/>
      <x:c r="Q24" s="14" t="str"/>
    </x:row>
    <x:row r="25">
      <x:c r="A25" s="14" t="n">
        <x:v>24</x:v>
      </x:c>
      <x:c r="B25" s="14" t="str">
        <x:v>Оператор ИС идентификации болельщиков</x:v>
      </x:c>
      <x:c r="C25" s="14" t="str">
        <x:v>Спорт</x:v>
      </x:c>
      <x:c r="D25" s="14" t="str">
        <x:v>Инфраструктура и Нормы</x:v>
      </x:c>
      <x:c r="E25" s="14" t="str">
        <x:v>Организации и объединения</x:v>
      </x:c>
      <x:c r="F25" s="14" t="str">
        <x:v>Role</x:v>
      </x:c>
      <x:c r="G25" s="14" t="str">
        <x:v>Функция ИТ-контроля</x:v>
      </x:c>
      <x:c r="H25" s="14" t="str">
        <x:v>Учебно-технический узел управления внесен в понятийный закон.</x:v>
      </x:c>
      <x:c r="I25" s="14" t="str">
        <x:v>Нет</x:v>
      </x:c>
      <x:c r="J25" s="14" t="str"/>
      <x:c r="K25" s="14" t="str"/>
      <x:c r="L25" s="14" t="str"/>
      <x:c r="M25" s="14" t="str">
        <x:v>REVIEW</x:v>
      </x:c>
      <x:c r="N25" s="14" t="str"/>
      <x:c r="O25" s="14" t="str"/>
      <x:c r="P25" s="14" t="str"/>
      <x:c r="Q25" s="14" t="str"/>
    </x:row>
    <x:row r="26">
      <x:c r="A26" s="14" t="n">
        <x:v>25</x:v>
      </x:c>
      <x:c r="B26" s="14" t="str">
        <x:v>Организатор спортивного соревнования</x:v>
      </x:c>
      <x:c r="C26" s="14" t="str">
        <x:v>Спорт</x:v>
      </x:c>
      <x:c r="D26" s="14" t="str">
        <x:v>Субъекты</x:v>
      </x:c>
      <x:c r="E26" s="14" t="str">
        <x:v>Организации и объединения</x:v>
      </x:c>
      <x:c r="F26" s="14" t="str">
        <x:v>Role</x:v>
      </x:c>
      <x:c r="G26" s="14" t="str">
        <x:v>Функционал проведения</x:v>
      </x:c>
      <x:c r="H26" s="14" t="str">
        <x:v>Исключает физических лиц (в отличие от организатора физкультурных мероприятий).</x:v>
      </x:c>
      <x:c r="I26" s="14" t="str">
        <x:v>Да</x:v>
      </x:c>
      <x:c r="J26" s="14" t="str">
        <x:v>ОРГАНИЗАТОР СПОРТИВНОГО СОРЕВНОВАНИЯ</x:v>
      </x:c>
      <x:c r="K26" s="14" t="str">
        <x:v>юридическое лицо, которое утверждает положение (регламент) спортивного соревнования, определяет условия и календарный план его проведения, условия допуска к участию в спортивном соревновании, порядок выявления лучшего участника или лучших участников, порядок организационного и иного обеспечения спортивного соревнования, обеспечивает финансирование спортивного соревнования в утвержденном им порядке, а также осуществляет иные полномочия в соответствии с настоящим Федеральным законом;</x:v>
      </x:c>
      <x:c r="L26" s="14" t="str">
        <x:v>юридическое лицо, по инициативе которого проводятся данные спортивные соревнования и (или) которое осуществляет организационное, финансовое и иное обеспечение подготовки и проведения данных соревнований;</x:v>
      </x:c>
      <x:c r="M26" s="14" t="str">
        <x:v>REDEFINE</x:v>
      </x:c>
      <x:c r="N26" s="14" t="str"/>
      <x:c r="O26" s="14" t="str"/>
      <x:c r="P26" s="14" t="str"/>
      <x:c r="Q26" s="14" t="str"/>
    </x:row>
    <x:row r="27">
      <x:c r="A27" s="14" t="n">
        <x:v>26</x:v>
      </x:c>
      <x:c r="B27" s="14" t="str">
        <x:v>Организатор физкультурного мероприятия</x:v>
      </x:c>
      <x:c r="C27" s="14" t="str">
        <x:v>Физическая культура</x:v>
      </x:c>
      <x:c r="D27" s="14" t="str">
        <x:v>Субъекты</x:v>
      </x:c>
      <x:c r="E27" s="14" t="str">
        <x:v>Физические / Юр. лица</x:v>
      </x:c>
      <x:c r="F27" s="14" t="str">
        <x:v>Role</x:v>
      </x:c>
      <x:c r="G27" s="14" t="str">
        <x:v>Инициатива / Финансирование</x:v>
      </x:c>
      <x:c r="H27" s="14" t="str">
        <x:v>Рассогласование с п. 7.3: физлицо может быть организатором физкультурного, но не спортивного события.</x:v>
      </x:c>
      <x:c r="I27" s="14" t="str">
        <x:v>Да</x:v>
      </x:c>
      <x:c r="J27" s="14" t="str">
        <x:v>ОРГАНИЗАТОР ФИЗКУЛЬТУРНОГО МЕРОПРИЯТИЯ</x:v>
      </x:c>
      <x:c r="K27" s="14" t="str">
        <x:v>юридическое или физическое лицо, по инициативе которого проводится физкультурное мероприятие и (или) которое осуществляет организационное, финансовое и иное обеспечение подготовки и проведения такого мероприятия;</x:v>
      </x:c>
      <x:c r="L27" s="14" t="str">
        <x:v>юридическое или физическое лицо, по инициативе которого проводится данное физкультурное мероприятие и (или) которое осуществляет организационное, финансовое и иное обеспечение подготовки и проведения данного мероприятия;</x:v>
      </x:c>
      <x:c r="M27" s="14" t="str">
        <x:v>REDEFINE</x:v>
      </x:c>
      <x:c r="N27" s="14" t="str"/>
      <x:c r="O27" s="14" t="str"/>
      <x:c r="P27" s="14" t="str"/>
      <x:c r="Q27" s="14" t="str"/>
    </x:row>
    <x:row r="28">
      <x:c r="A28" s="14" t="n">
        <x:v>27</x:v>
      </x:c>
      <x:c r="B28" s="14" t="str">
        <x:v>Официальные физкультурные и спортивные мероприятия</x:v>
      </x:c>
      <x:c r="C28" s="14" t="str">
        <x:v>Спорт</x:v>
      </x:c>
      <x:c r="D28" s="14" t="str">
        <x:v>Мероприятия и события</x:v>
      </x:c>
      <x:c r="E28" s="14" t="str">
        <x:v>Спортивные мероприятия</x:v>
      </x:c>
      <x:c r="F28" s="14" t="str">
        <x:v>Is-A</x:v>
      </x:c>
      <x:c r="G28" s="14" t="str">
        <x:v>Включение в календарный план</x:v>
      </x:c>
      <x:c r="H28" s="14" t="str">
        <x:v>Статусное определение: зависит исключительно от формального факта внесения в план.</x:v>
      </x:c>
      <x:c r="I28" s="14" t="str">
        <x:v>Да</x:v>
      </x:c>
      <x:c r="J28" s="14" t="str">
        <x:v>ОФИЦИАЛЬНЫЕ ФИЗКУЛЬТУРНЫЕ МЕРОПРИЯТИЯ И СПОРТИВНЫЕ МЕРОПРИЯТИЯ</x:v>
      </x:c>
      <x:c r="K28" s="14" t="str">
        <x:v>физкультурные мероприятия и спортивные мероприятия, включенные в Единый календарный план межрегиональных, всероссийских и международных физкультурных мероприятий и спортивных мероприятий, календарные планы физкультурных мероприятий и спортивных мероприятий субъектов Российской Федерации, муниципальных образований;</x:v>
      </x:c>
      <x:c r="L28" s="14" t="str">
        <x:v>физкультурные мероприятия и спортивные мероприятия, включенные в Единый календарный план межрегиональных, всероссийских и международных физкультурных мероприятий и спортивных мероприятий, календарные планы физкультурных мероприятий и спортивных мероприятий субъектов Российской Федерации, муниципальных образований;</x:v>
      </x:c>
      <x:c r="M28" s="14" t="str">
        <x:v>KEEP</x:v>
      </x:c>
      <x:c r="N28" s="14" t="str"/>
      <x:c r="O28" s="14" t="str"/>
      <x:c r="P28" s="14" t="str"/>
      <x:c r="Q28" s="14" t="str"/>
    </x:row>
    <x:row r="29">
      <x:c r="A29" s="14" t="n">
        <x:v>28</x:v>
      </x:c>
      <x:c r="B29" s="14" t="str">
        <x:v>Паралимпийская делегация РФ</x:v>
      </x:c>
      <x:c r="C29" s="14" t="str">
        <x:v>Спорт</x:v>
      </x:c>
      <x:c r="D29" s="14" t="str">
        <x:v>Субъекты</x:v>
      </x:c>
      <x:c r="E29" s="14" t="str">
        <x:v>Коллективные субъекты</x:v>
      </x:c>
      <x:c r="F29" s="14" t="str">
        <x:v>Part-Of</x:v>
      </x:c>
      <x:c r="G29" s="14" t="str">
        <x:v>Состав представителей</x:v>
      </x:c>
      <x:c r="H29" s="14" t="str">
        <x:v>Полный дубликат структуры п. 7.1 для паралимпийского движения.</x:v>
      </x:c>
      <x:c r="I29" s="14" t="str">
        <x:v>Нет</x:v>
      </x:c>
      <x:c r="J29" s="14" t="str"/>
      <x:c r="K29" s="14" t="str"/>
      <x:c r="L29" s="14" t="str"/>
      <x:c r="M29" s="14" t="str">
        <x:v>REVIEW</x:v>
      </x:c>
      <x:c r="N29" s="14" t="str"/>
      <x:c r="O29" s="14" t="str"/>
      <x:c r="P29" s="14" t="str"/>
      <x:c r="Q29" s="14" t="str"/>
    </x:row>
    <x:row r="30">
      <x:c r="A30" s="14" t="n">
        <x:v>29</x:v>
      </x:c>
      <x:c r="B30" s="14" t="str">
        <x:v>Паралимпийская команда России</x:v>
      </x:c>
      <x:c r="C30" s="14" t="str">
        <x:v>Спорт</x:v>
      </x:c>
      <x:c r="D30" s="14" t="str">
        <x:v>Субъекты</x:v>
      </x:c>
      <x:c r="E30" s="14" t="str">
        <x:v>Паралимпийская делегация РФ</x:v>
      </x:c>
      <x:c r="F30" s="14" t="str">
        <x:v>Part-Of</x:v>
      </x:c>
      <x:c r="G30" s="14" t="str">
        <x:v>Состав соревнующихся</x:v>
      </x:c>
      <x:c r="H30" s="14" t="str">
        <x:v>Полный дубликат структуры п. 7.2 для паралимпийского движения.</x:v>
      </x:c>
      <x:c r="I30" s="14" t="str">
        <x:v>Нет</x:v>
      </x:c>
      <x:c r="J30" s="14" t="str"/>
      <x:c r="K30" s="14" t="str"/>
      <x:c r="L30" s="14" t="str"/>
      <x:c r="M30" s="14" t="str">
        <x:v>REVIEW</x:v>
      </x:c>
      <x:c r="N30" s="14" t="str"/>
      <x:c r="O30" s="14" t="str"/>
      <x:c r="P30" s="14" t="str"/>
      <x:c r="Q30" s="14" t="str"/>
    </x:row>
    <x:row r="31">
      <x:c r="A31" s="14" t="n">
        <x:v>30</x:v>
      </x:c>
      <x:c r="B31" s="14" t="str">
        <x:v>Персонифицированная карта (Fan ID)</x:v>
      </x:c>
      <x:c r="C31" s="14" t="str">
        <x:v>Спорт</x:v>
      </x:c>
      <x:c r="D31" s="14" t="str">
        <x:v>Инфраструктура и Нормы</x:v>
      </x:c>
      <x:c r="E31" s="14" t="str">
        <x:v>Спортивное соревнование</x:v>
      </x:c>
      <x:c r="F31" s="14" t="str">
        <x:v>Attribute</x:v>
      </x:c>
      <x:c r="G31" s="14" t="str">
        <x:v>Электронный документ</x:v>
      </x:c>
      <x:c r="H31" s="14" t="str">
        <x:v>Административно-процессуальный инструмент безопасности внесен в общие понятия.</x:v>
      </x:c>
      <x:c r="I31" s="14" t="str">
        <x:v>Нет</x:v>
      </x:c>
      <x:c r="J31" s="14" t="str"/>
      <x:c r="K31" s="14" t="str"/>
      <x:c r="L31" s="14" t="str"/>
      <x:c r="M31" s="14" t="str">
        <x:v>REVIEW</x:v>
      </x:c>
      <x:c r="N31" s="14" t="str"/>
      <x:c r="O31" s="14" t="str"/>
      <x:c r="P31" s="14" t="str"/>
      <x:c r="Q31" s="14" t="str"/>
    </x:row>
    <x:row r="32">
      <x:c r="A32" s="14" t="n">
        <x:v>31</x:v>
      </x:c>
      <x:c r="B32" s="14" t="str">
        <x:v>Программа развития вида спорта</x:v>
      </x:c>
      <x:c r="C32" s="14" t="str">
        <x:v>Спорт</x:v>
      </x:c>
      <x:c r="D32" s="14" t="str">
        <x:v>Инфраструктура и Нормы</x:v>
      </x:c>
      <x:c r="E32" s="14" t="str">
        <x:v>Спортивная федерация</x:v>
      </x:c>
      <x:c r="F32" s="14" t="str">
        <x:v>Attribute</x:v>
      </x:c>
      <x:c r="G32" s="14" t="str">
        <x:v>Целевое планирование</x:v>
      </x:c>
      <x:c r="H32" s="14" t="str">
        <x:v>Документарный инструмент увязан с госаккредитацией.</x:v>
      </x:c>
      <x:c r="I32" s="14" t="str">
        <x:v>Нет</x:v>
      </x:c>
      <x:c r="J32" s="14" t="str"/>
      <x:c r="K32" s="14" t="str"/>
      <x:c r="L32" s="14" t="str"/>
      <x:c r="M32" s="14" t="str">
        <x:v>REVIEW</x:v>
      </x:c>
      <x:c r="N32" s="14" t="str"/>
      <x:c r="O32" s="14" t="str"/>
      <x:c r="P32" s="14" t="str"/>
      <x:c r="Q32" s="14" t="str"/>
    </x:row>
    <x:row r="33">
      <x:c r="A33" s="14" t="n">
        <x:v>32</x:v>
      </x:c>
      <x:c r="B33" s="14" t="str">
        <x:v>Профессиональная спортивная лига</x:v>
      </x:c>
      <x:c r="C33" s="14" t="str">
        <x:v>Спорт</x:v>
      </x:c>
      <x:c r="D33" s="14" t="str">
        <x:v>Субъекты</x:v>
      </x:c>
      <x:c r="E33" s="14" t="str">
        <x:v>Организации и объединения</x:v>
      </x:c>
      <x:c r="F33" s="14" t="str">
        <x:v>Is-A</x:v>
      </x:c>
      <x:c r="G33" s="14" t="str">
        <x:v>Цель проведения соревнований</x:v>
      </x:c>
      <x:c r="H33" s="14" t="str">
        <x:v>Определение через цель («проведение профессиональных соревнований»).</x:v>
      </x:c>
      <x:c r="I33" s="14" t="str">
        <x:v>Нет</x:v>
      </x:c>
      <x:c r="J33" s="14" t="str"/>
      <x:c r="K33" s="14" t="str"/>
      <x:c r="L33" s="14" t="str"/>
      <x:c r="M33" s="14" t="str">
        <x:v>REVIEW</x:v>
      </x:c>
      <x:c r="N33" s="14" t="str"/>
      <x:c r="O33" s="14" t="str"/>
      <x:c r="P33" s="14" t="str"/>
      <x:c r="Q33" s="14" t="str"/>
    </x:row>
    <x:row r="34">
      <x:c r="A34" s="14" t="n">
        <x:v>33</x:v>
      </x:c>
      <x:c r="B34" s="14" t="str">
        <x:v>Профессиональные спортивные соревнования</x:v>
      </x:c>
      <x:c r="C34" s="14" t="str">
        <x:v>Спорт</x:v>
      </x:c>
      <x:c r="D34" s="14" t="str">
        <x:v>Мероприятия и события</x:v>
      </x:c>
      <x:c r="E34" s="14" t="str">
        <x:v>Спортивное соревнование</x:v>
      </x:c>
      <x:c r="F34" s="14" t="str">
        <x:v>Is-A</x:v>
      </x:c>
      <x:c r="G34" s="14" t="str">
        <x:v>Доход / Трудовой договор</x:v>
      </x:c>
      <x:c r="H34" s="14" t="str">
        <x:v>Замкнутый круг: соревнование признается профессиональным, если таковым его определил организатор.</x:v>
      </x:c>
      <x:c r="I34" s="14" t="str">
        <x:v>Нет</x:v>
      </x:c>
      <x:c r="J34" s="14" t="str"/>
      <x:c r="K34" s="14" t="str"/>
      <x:c r="L34" s="14" t="str"/>
      <x:c r="M34" s="14" t="str">
        <x:v>REVIEW</x:v>
      </x:c>
      <x:c r="N34" s="14" t="str"/>
      <x:c r="O34" s="14" t="str"/>
      <x:c r="P34" s="14" t="str"/>
      <x:c r="Q34" s="14" t="str"/>
    </x:row>
    <x:row r="35">
      <x:c r="A35" s="14" t="n">
        <x:v>34</x:v>
      </x:c>
      <x:c r="B35" s="14" t="str">
        <x:v>Профессиональный спортивный клуб</x:v>
      </x:c>
      <x:c r="C35" s="14" t="str">
        <x:v>Спорт</x:v>
      </x:c>
      <x:c r="D35" s="14" t="str">
        <x:v>Субъекты</x:v>
      </x:c>
      <x:c r="E35" s="14" t="str">
        <x:v>Физкультурно-спортивная организация</x:v>
      </x:c>
      <x:c r="F35" s="14" t="str">
        <x:v>Is-A</x:v>
      </x:c>
      <x:c r="G35" s="14" t="str">
        <x:v>Факт участия в соревновании</x:v>
      </x:c>
      <x:c r="H35" s="14" t="str">
        <x:v>Определение через факт заявления к участию в соревновании.</x:v>
      </x:c>
      <x:c r="I35" s="14" t="str">
        <x:v>Нет</x:v>
      </x:c>
      <x:c r="J35" s="14" t="str"/>
      <x:c r="K35" s="14" t="str"/>
      <x:c r="L35" s="14" t="str"/>
      <x:c r="M35" s="14" t="str">
        <x:v>REVIEW</x:v>
      </x:c>
      <x:c r="N35" s="14" t="str"/>
      <x:c r="O35" s="14" t="str"/>
      <x:c r="P35" s="14" t="str"/>
      <x:c r="Q35" s="14" t="str"/>
    </x:row>
    <x:row r="36">
      <x:c r="A36" s="14" t="n">
        <x:v>35</x:v>
      </x:c>
      <x:c r="B36" s="14" t="str">
        <x:v>Профессиональный спорт</x:v>
      </x:c>
      <x:c r="C36" s="14" t="str">
        <x:v>Спорт</x:v>
      </x:c>
      <x:c r="D36" s="14" t="str">
        <x:v>Сферы и виды спорта</x:v>
      </x:c>
      <x:c r="E36" s="14" t="str">
        <x:v>Спорт</x:v>
      </x:c>
      <x:c r="F36" s="14" t="str">
        <x:v>Is-A</x:v>
      </x:c>
      <x:c r="G36" s="14" t="str">
        <x:v>Направленность на доход</x:v>
      </x:c>
      <x:c r="H36" s="14" t="str">
        <x:v>Замкнутое определение: часть спорта, направленная на проведение профессиональных соревнований.</x:v>
      </x:c>
      <x:c r="I36" s="14" t="str">
        <x:v>Да</x:v>
      </x:c>
      <x:c r="J36" s="14" t="str">
        <x:v>ПРОФЕССИОНАЛЬНЫЙ СПОРТ</x:v>
      </x:c>
      <x:c r="K36" s="14" t="str">
        <x:v>часть спорта, направленная на организацию и проведение профессиональных спортивных соревнований;</x:v>
      </x:c>
      <x:c r="L36" s="14" t="str">
        <x:v>форма организации общественных отношений, направленная на систематическое получение дохода их участниками от результатов осуществления трудовых функций спортсмена.</x:v>
      </x:c>
      <x:c r="M36" s="14" t="str">
        <x:v>REDEFINE</x:v>
      </x:c>
      <x:c r="N36" s="14" t="str"/>
      <x:c r="O36" s="14" t="str"/>
      <x:c r="P36" s="14" t="str"/>
      <x:c r="Q36" s="14" t="str"/>
    </x:row>
    <x:row r="37">
      <x:c r="A37" s="14" t="n">
        <x:v>36</x:v>
      </x:c>
      <x:c r="B37" s="14" t="str">
        <x:v>Символика физкультурного/спортивного мероприятия</x:v>
      </x:c>
      <x:c r="C37" s="14" t="str">
        <x:v>Спорт</x:v>
      </x:c>
      <x:c r="D37" s="14" t="str">
        <x:v>Инфраструктура и Нормы</x:v>
      </x:c>
      <x:c r="E37" s="14" t="str">
        <x:v>Мероприятия и события</x:v>
      </x:c>
      <x:c r="F37" s="14" t="str">
        <x:v>Attribute</x:v>
      </x:c>
      <x:c r="G37" s="14" t="str">
        <x:v>Интеллектуальная собственность</x:v>
      </x:c>
      <x:c r="H37" s="14" t="str">
        <x:v>Категориальный сдвиг в сторону гражданского и авторского права.</x:v>
      </x:c>
      <x:c r="I37" s="14" t="str">
        <x:v>Нет</x:v>
      </x:c>
      <x:c r="J37" s="14" t="str"/>
      <x:c r="K37" s="14" t="str"/>
      <x:c r="L37" s="14" t="str"/>
      <x:c r="M37" s="14" t="str">
        <x:v>REVIEW</x:v>
      </x:c>
      <x:c r="N37" s="14" t="str"/>
      <x:c r="O37" s="14" t="str"/>
      <x:c r="P37" s="14" t="str"/>
      <x:c r="Q37" s="14" t="str"/>
    </x:row>
    <x:row r="38">
      <x:c r="A38" s="14" t="n">
        <x:v>37</x:v>
      </x:c>
      <x:c r="B38" s="14" t="str">
        <x:v>Специалист по спортивной медицине</x:v>
      </x:c>
      <x:c r="C38" s="14" t="str">
        <x:v>Спорт</x:v>
      </x:c>
      <x:c r="D38" s="14" t="str">
        <x:v>Субъекты</x:v>
      </x:c>
      <x:c r="E38" s="14" t="str">
        <x:v>Физические лица</x:v>
      </x:c>
      <x:c r="F38" s="14" t="str">
        <x:v>Role</x:v>
      </x:c>
      <x:c r="G38" s="14" t="str">
        <x:v>Трудовая функция</x:v>
      </x:c>
      <x:c r="H38" s="14" t="str">
        <x:v>Определение исключительно через функцию оказания помощи спортсменам.</x:v>
      </x:c>
      <x:c r="I38" s="14" t="str">
        <x:v>Нет</x:v>
      </x:c>
      <x:c r="J38" s="14" t="str"/>
      <x:c r="K38" s="14" t="str"/>
      <x:c r="L38" s="14" t="str"/>
      <x:c r="M38" s="14" t="str">
        <x:v>REVIEW</x:v>
      </x:c>
      <x:c r="N38" s="14" t="str"/>
      <x:c r="O38" s="14" t="str"/>
      <x:c r="P38" s="14" t="str"/>
      <x:c r="Q38" s="14" t="str"/>
    </x:row>
    <x:row r="39">
      <x:c r="A39" s="14" t="n">
        <x:v>38</x:v>
      </x:c>
      <x:c r="B39" s="14" t="str">
        <x:v>Спорт</x:v>
      </x:c>
      <x:c r="C39" s="14" t="str">
        <x:v>Спорт</x:v>
      </x:c>
      <x:c r="D39" s="14" t="str">
        <x:v>Высший мета-класс</x:v>
      </x:c>
      <x:c r="E39" s="14" t="str">
        <x:v>—</x:v>
      </x:c>
      <x:c r="F39" s="14" t="str">
        <x:v>Root</x:v>
      </x:c>
      <x:c r="G39" s="14" t="str">
        <x:v>Состязательный</x:v>
      </x:c>
      <x:c r="H39" s="14" t="str">
        <x:v>Фундаментальный узел; определяется как «совокупность видов спорта» (круг в определении).</x:v>
      </x:c>
      <x:c r="I39" s="14" t="str">
        <x:v>Да</x:v>
      </x:c>
      <x:c r="J39" s="14" t="str">
        <x:v>СПОРТ</x:v>
      </x:c>
      <x:c r="K39" s="14" t="str">
        <x:v>сфера социально-культурной деятельности как совокупность видов спорта, сложившаяся в форме соревнований и специальной практики подготовки человека к ним;</x:v>
      </x:c>
      <x:c r="L39" s="14" t="str">
        <x:v>часть социально-культурной сферы общества, сущность которой составляют упорядоченные общественные отношения, направленные на удовлетворение социальной потребности в состязательности, осуществляемые в системе специальной подготовки и реализуемые в условиях соревнований.</x:v>
      </x:c>
      <x:c r="M39" s="14" t="str">
        <x:v>REDEFINE</x:v>
      </x:c>
      <x:c r="N39" s="14" t="str"/>
      <x:c r="O39" s="14" t="str"/>
      <x:c r="P39" s="14" t="str"/>
      <x:c r="Q39" s="14" t="str"/>
    </x:row>
    <x:row r="40">
      <x:c r="A40" s="14" t="n">
        <x:v>39</x:v>
      </x:c>
      <x:c r="B40" s="14" t="str">
        <x:v>Спорт высших достижений</x:v>
      </x:c>
      <x:c r="C40" s="14" t="str">
        <x:v>Спорт</x:v>
      </x:c>
      <x:c r="D40" s="14" t="str">
        <x:v>Сферы и виды спорта</x:v>
      </x:c>
      <x:c r="E40" s="14" t="str">
        <x:v>Спорт</x:v>
      </x:c>
      <x:c r="F40" s="14" t="str">
        <x:v>Is-A</x:v>
      </x:c>
      <x:c r="G40" s="14" t="str">
        <x:v>Высокий результат</x:v>
      </x:c>
      <x:c r="H40" s="14" t="str">
        <x:v>Классификация по уровню спортивного результата.</x:v>
      </x:c>
      <x:c r="I40" s="14" t="str">
        <x:v>Да</x:v>
      </x:c>
      <x:c r="J40" s="14" t="str">
        <x:v>СПОРТ ВЫСШИХ ДОСТИЖЕНИЙ</x:v>
      </x:c>
      <x:c r="K40" s="14" t="str">
        <x:v>часть спорта, направленная на достижение спортсменами высоких спортивных результатов на официальных всероссийских спортивных соревнованиях и официальных международных спортивных соревнованиях;</x:v>
      </x:c>
      <x:c r="L40" s="14" t="str">
        <x:v>форма организации общественных отношений направленная на достижение спортсменами высоких спортивных результатов на официальных всероссийских и международных спортивных соревнованиях.</x:v>
      </x:c>
      <x:c r="M40" s="14" t="str">
        <x:v>REDEFINE</x:v>
      </x:c>
      <x:c r="N40" s="14" t="str"/>
      <x:c r="O40" s="14" t="str"/>
      <x:c r="P40" s="14" t="str"/>
      <x:c r="Q40" s="14" t="str"/>
    </x:row>
    <x:row r="41">
      <x:c r="A41" s="14" t="n">
        <x:v>40</x:v>
      </x:c>
      <x:c r="B41" s="14" t="str">
        <x:v>Спортивная дисквалификация спортсмена</x:v>
      </x:c>
      <x:c r="C41" s="14" t="str">
        <x:v>Спорт</x:v>
      </x:c>
      <x:c r="D41" s="14" t="str">
        <x:v>Инфраструктура и Нормы</x:v>
      </x:c>
      <x:c r="E41" s="14" t="str">
        <x:v>Спортивная санкция</x:v>
      </x:c>
      <x:c r="F41" s="14" t="str">
        <x:v>Is-A</x:v>
      </x:c>
      <x:c r="G41" s="14" t="str">
        <x:v>Форма отстранения</x:v>
      </x:c>
      <x:c r="H41" s="14" t="str">
        <x:v>Видовая форма санкции.</x:v>
      </x:c>
      <x:c r="I41" s="14" t="str">
        <x:v>Нет</x:v>
      </x:c>
      <x:c r="J41" s="14" t="str"/>
      <x:c r="K41" s="14" t="str"/>
      <x:c r="L41" s="14" t="str"/>
      <x:c r="M41" s="14" t="str">
        <x:v>REVIEW</x:v>
      </x:c>
      <x:c r="N41" s="14" t="str"/>
      <x:c r="O41" s="14" t="str"/>
      <x:c r="P41" s="14" t="str"/>
      <x:c r="Q41" s="14" t="str"/>
    </x:row>
    <x:row r="42">
      <x:c r="A42" s="14" t="n">
        <x:v>41</x:v>
      </x:c>
      <x:c r="B42" s="14" t="str">
        <x:v>Спортивная дисциплина</x:v>
      </x:c>
      <x:c r="C42" s="14" t="str">
        <x:v>Спорт</x:v>
      </x:c>
      <x:c r="D42" s="14" t="str">
        <x:v>Сферы и виды спорта</x:v>
      </x:c>
      <x:c r="E42" s="14" t="str">
        <x:v>Вид спорта</x:v>
      </x:c>
      <x:c r="F42" s="14" t="str">
        <x:v>Part-Of</x:v>
      </x:c>
      <x:c r="G42" s="14" t="str">
        <x:v>Отличительные признаки</x:v>
      </x:c>
      <x:c r="H42" s="14" t="str">
        <x:v>Меронимическая цепь (часть вида спорта).</x:v>
      </x:c>
      <x:c r="I42" s="14" t="str">
        <x:v>Нет</x:v>
      </x:c>
      <x:c r="J42" s="14" t="str"/>
      <x:c r="K42" s="14" t="str"/>
      <x:c r="L42" s="14" t="str"/>
      <x:c r="M42" s="14" t="str">
        <x:v>REVIEW</x:v>
      </x:c>
      <x:c r="N42" s="14" t="str"/>
      <x:c r="O42" s="14" t="str"/>
      <x:c r="P42" s="14" t="str"/>
      <x:c r="Q42" s="14" t="str"/>
    </x:row>
    <x:row r="43">
      <x:c r="A43" s="14" t="n">
        <x:v>42</x:v>
      </x:c>
      <x:c r="B43" s="14" t="str">
        <x:v>Спортивная подготовка</x:v>
      </x:c>
      <x:c r="C43" s="14" t="str">
        <x:v>Спорт</x:v>
      </x:c>
      <x:c r="D43" s="14" t="str">
        <x:v>Деятельность и процессы</x:v>
      </x:c>
      <x:c r="E43" s="14" t="str">
        <x:v>Спорт</x:v>
      </x:c>
      <x:c r="F43" s="14" t="str">
        <x:v>Is-A</x:v>
      </x:c>
      <x:c r="G43" s="14" t="str">
        <x:v>Учебно-тренировочный процесс</x:v>
      </x:c>
      <x:c r="H43" s="14" t="str">
        <x:v>Определяется через образовательную или трудовую деятельность.</x:v>
      </x:c>
      <x:c r="I43" s="14" t="str">
        <x:v>Да</x:v>
      </x:c>
      <x:c r="J43" s="14" t="str">
        <x:v>СПОРТИВНАЯ ПОДГОТОВКА</x:v>
      </x:c>
      <x:c r="K43" s="14" t="str">
        <x:v>учебно-тренировочный процесс, который подлежит планированию, осуществляется в рамках образовательной или трудовой деятельности, направлен на физическое воспитание и физическое развитие спортсменов, совершенствование их спортивного мастерства посредством систематического участия в спортивных мероприятиях, в том числе спортивных соревнованиях;</x:v>
      </x:c>
      <x:c r="L43" s="14" t="str">
        <x:v>вид деятельности, целью которой является успешное выступление спортсмена в соревнованиях по избранному виду спорта.</x:v>
      </x:c>
      <x:c r="M43" s="14" t="str">
        <x:v>REDEFINE</x:v>
      </x:c>
      <x:c r="N43" s="14" t="str"/>
      <x:c r="O43" s="14" t="str"/>
      <x:c r="P43" s="14" t="str"/>
      <x:c r="Q43" s="14" t="str"/>
    </x:row>
    <x:row r="44">
      <x:c r="A44" s="14" t="n">
        <x:v>43</x:v>
      </x:c>
      <x:c r="B44" s="14" t="str">
        <x:v>Спортивный резерв</x:v>
      </x:c>
      <x:c r="C44" s="14" t="str">
        <x:v>Спорт</x:v>
      </x:c>
      <x:c r="D44" s="14" t="str">
        <x:v>Субъекты</x:v>
      </x:c>
      <x:c r="E44" s="14" t="str">
        <x:v>Физические лица</x:v>
      </x:c>
      <x:c r="F44" s="14" t="str">
        <x:v>Is-A</x:v>
      </x:c>
      <x:c r="G44" s="14" t="str">
        <x:v>Цель подготовки</x:v>
      </x:c>
      <x:c r="H44" s="14" t="str">
        <x:v>Определение через конечную цель — «включение в состав сборных команд».</x:v>
      </x:c>
      <x:c r="I44" s="14" t="str">
        <x:v>Да</x:v>
      </x:c>
      <x:c r="J44" s="14" t="str">
        <x:v>СПОРТИВНЫЙ РЕЗЕРВ</x:v>
      </x:c>
      <x:c r="K44" s="14" t="str">
        <x:v>лица, проходящие спортивную подготовку в целях включения их в состав спортивных сборных команд, в том числе спортивных сборных команд Российской Федерации;</x:v>
      </x:c>
      <x:c r="L44" s="14" t="str">
        <x:v>лица, проходящие спортивную подготовку в целях включения их в состав спортивных сборных команд, в том числе спортивных сборных команд Российской Федерации;</x:v>
      </x:c>
      <x:c r="M44" s="14" t="str">
        <x:v>KEEP</x:v>
      </x:c>
      <x:c r="N44" s="14" t="str"/>
      <x:c r="O44" s="14" t="str"/>
      <x:c r="P44" s="14" t="str"/>
      <x:c r="Q44" s="14" t="str"/>
    </x:row>
    <x:row r="45">
      <x:c r="A45" s="14" t="n">
        <x:v>44</x:v>
      </x:c>
      <x:c r="B45" s="14" t="str">
        <x:v>Спортивная федерация</x:v>
      </x:c>
      <x:c r="C45" s="14" t="str">
        <x:v>Спорт</x:v>
      </x:c>
      <x:c r="D45" s="14" t="str">
        <x:v>Субъекты</x:v>
      </x:c>
      <x:c r="E45" s="14" t="str">
        <x:v>Физкультурно-спортивная организация</x:v>
      </x:c>
      <x:c r="F45" s="14" t="str">
        <x:v>Is-A</x:v>
      </x:c>
      <x:c r="G45" s="14" t="str">
        <x:v>Развитие видов спорта</x:v>
      </x:c>
      <x:c r="H45" s="14" t="str">
        <x:v>Базовый родовой класс для п. 6 и п. 6.1.</x:v>
      </x:c>
      <x:c r="I45" s="14" t="str">
        <x:v>Нет</x:v>
      </x:c>
      <x:c r="J45" s="14" t="str"/>
      <x:c r="K45" s="14" t="str"/>
      <x:c r="L45" s="14" t="str"/>
      <x:c r="M45" s="14" t="str">
        <x:v>REVIEW</x:v>
      </x:c>
      <x:c r="N45" s="14" t="str"/>
      <x:c r="O45" s="14" t="str"/>
      <x:c r="P45" s="14" t="str"/>
      <x:c r="Q45" s="14" t="str"/>
    </x:row>
    <x:row r="46">
      <x:c r="A46" s="14" t="n">
        <x:v>45</x:v>
      </x:c>
      <x:c r="B46" s="14" t="str">
        <x:v>Спортивное сооружение</x:v>
      </x:c>
      <x:c r="C46" s="14" t="str">
        <x:v>Физическая культура</x:v>
      </x:c>
      <x:c r="D46" s="14" t="str">
        <x:v>Инфраструктура и Нормы</x:v>
      </x:c>
      <x:c r="E46" s="14" t="str">
        <x:v>Объект спорта</x:v>
      </x:c>
      <x:c r="F46" s="14" t="str">
        <x:v>Is-A</x:v>
      </x:c>
      <x:c r="G46" s="14" t="str">
        <x:v>Инженерный объект</x:v>
      </x:c>
      <x:c r="H46" s="14" t="str">
        <x:v>Подкласс объекта спорта; ограничено понятием «инженерно-строительный объект».</x:v>
      </x:c>
      <x:c r="I46" s="14" t="str">
        <x:v>Да</x:v>
      </x:c>
      <x:c r="J46" s="14" t="str">
        <x:v>СПОРТИВНОЕ СООРУЖЕНИЕ</x:v>
      </x:c>
      <x:c r="K46" s="14" t="str">
        <x:v>инженерно-строительный объект, предназначенный для проведения физкультурных мероприятий и (или) спортивных мероприятий;</x:v>
      </x:c>
      <x:c r="L46" s="14" t="str">
        <x:v>инженерно-строительный объект, предназначенный для проведения физкультурных мероприятий и (или) спортивных мероприятий;</x:v>
      </x:c>
      <x:c r="M46" s="14" t="str">
        <x:v>KEEP</x:v>
      </x:c>
      <x:c r="N46" s="14" t="str"/>
      <x:c r="O46" s="14" t="str"/>
      <x:c r="P46" s="14" t="str"/>
      <x:c r="Q46" s="14" t="str"/>
    </x:row>
    <x:row r="47">
      <x:c r="A47" s="14" t="n">
        <x:v>46</x:v>
      </x:c>
      <x:c r="B47" s="14" t="str">
        <x:v>Спортивное соревнование</x:v>
      </x:c>
      <x:c r="C47" s="14" t="str">
        <x:v>Спорт</x:v>
      </x:c>
      <x:c r="D47" s="14" t="str">
        <x:v>Мероприятия и события</x:v>
      </x:c>
      <x:c r="E47" s="14" t="str">
        <x:v>Спортивные мероприятия</x:v>
      </x:c>
      <x:c r="F47" s="14" t="str">
        <x:v>Is-A</x:v>
      </x:c>
      <x:c r="G47" s="14" t="str">
        <x:v>Положение / Состязание</x:v>
      </x:c>
      <x:c r="H47" s="14" t="str">
        <x:v>Состязание по утвержденному регламенту.</x:v>
      </x:c>
      <x:c r="I47" s="14" t="str">
        <x:v>Да</x:v>
      </x:c>
      <x:c r="J47" s="14" t="str">
        <x:v>СПОРТИВНОЕ СОРЕВНОВАНИЕ</x:v>
      </x:c>
      <x:c r="K47" s="14" t="str">
        <x:v>состязание (матч) среди спортсменов или команд спортсменов по различным видам спорта (спортивным дисциплинам) в целях выявления лучшего участника состязания (матча), проводимое по утвержденному его организатором положению (регламенту);</x:v>
      </x:c>
      <x:c r="L47" s="14" t="str">
        <x:v>регламентированное правилами вида спорта состязание участников (лиц допущенных к состязанию).</x:v>
      </x:c>
      <x:c r="M47" s="14" t="str">
        <x:v>REDEFINE</x:v>
      </x:c>
      <x:c r="N47" s="14" t="str"/>
      <x:c r="O47" s="14" t="str"/>
      <x:c r="P47" s="14" t="str"/>
      <x:c r="Q47" s="14" t="str"/>
    </x:row>
    <x:row r="48">
      <x:c r="A48" s="14" t="n">
        <x:v>47</x:v>
      </x:c>
      <x:c r="B48" s="14" t="str">
        <x:v>Спортивные мероприятия</x:v>
      </x:c>
      <x:c r="C48" s="14" t="str">
        <x:v>Спорт</x:v>
      </x:c>
      <x:c r="D48" s="14" t="str">
        <x:v>Мероприятия и события</x:v>
      </x:c>
      <x:c r="E48" s="14" t="str">
        <x:v>Спорт</x:v>
      </x:c>
      <x:c r="F48" s="14" t="str">
        <x:v>Is-A</x:v>
      </x:c>
      <x:c r="G48" s="14" t="str">
        <x:v>Тип события</x:v>
      </x:c>
      <x:c r="H48" s="14" t="str">
        <x:v>Объединяет соревнования И учебно-тренировочные мероприятия.</x:v>
      </x:c>
      <x:c r="I48" s="14" t="str">
        <x:v>Да</x:v>
      </x:c>
      <x:c r="J48" s="14" t="str">
        <x:v>СПОРТИВНЫЕ МЕРОПРИЯТИЯ</x:v>
      </x:c>
      <x:c r="K48" s="14" t="str">
        <x:v>спортивные соревнования, а также учебно-тренировочные мероприятия, включающие в себя теоретическую и организационную части, и другие мероприятия по подготовке к спортивным соревнованиям с участием спортсменов;</x:v>
      </x:c>
      <x:c r="L48" s="14" t="str">
        <x:v>спортивные соревнования, а также учебно-тренировочные и другие мероприятия по подготовке к спортивным соревнованиям;</x:v>
      </x:c>
      <x:c r="M48" s="14" t="str">
        <x:v>REDEFINE</x:v>
      </x:c>
      <x:c r="N48" s="14" t="str"/>
      <x:c r="O48" s="14" t="str"/>
      <x:c r="P48" s="14" t="str"/>
      <x:c r="Q48" s="14" t="str"/>
    </x:row>
    <x:row r="49">
      <x:c r="A49" s="14" t="n">
        <x:v>48</x:v>
      </x:c>
      <x:c r="B49" s="14" t="str">
        <x:v>Спортивная санкция</x:v>
      </x:c>
      <x:c r="C49" s="14" t="str">
        <x:v>Спорт</x:v>
      </x:c>
      <x:c r="D49" s="14" t="str">
        <x:v>Инфраструктура и Нормы</x:v>
      </x:c>
      <x:c r="E49" s="14" t="str">
        <x:v>Спорт</x:v>
      </x:c>
      <x:c r="F49" s="14" t="str">
        <x:v>Is-A</x:v>
      </x:c>
      <x:c r="G49" s="14" t="str">
        <x:v>Мера ответственности</x:v>
      </x:c>
      <x:c r="H49" s="14" t="str">
        <x:v>Родовой класс для п. 14 (дисквалификация).</x:v>
      </x:c>
      <x:c r="I49" s="14" t="str">
        <x:v>Нет</x:v>
      </x:c>
      <x:c r="J49" s="14" t="str"/>
      <x:c r="K49" s="14" t="str"/>
      <x:c r="L49" s="14" t="str"/>
      <x:c r="M49" s="14" t="str">
        <x:v>REVIEW</x:v>
      </x:c>
      <x:c r="N49" s="14" t="str"/>
      <x:c r="O49" s="14" t="str"/>
      <x:c r="P49" s="14" t="str"/>
      <x:c r="Q49" s="14" t="str"/>
    </x:row>
    <x:row r="50">
      <x:c r="A50" s="14" t="n">
        <x:v>49</x:v>
      </x:c>
      <x:c r="B50" s="14" t="str">
        <x:v>Спортивные сборные команды РФ</x:v>
      </x:c>
      <x:c r="C50" s="14" t="str">
        <x:v>Спорт</x:v>
      </x:c>
      <x:c r="D50" s="14" t="str">
        <x:v>Субъекты</x:v>
      </x:c>
      <x:c r="E50" s="14" t="str">
        <x:v>Коллективные субъекты</x:v>
      </x:c>
      <x:c r="F50" s="14" t="str">
        <x:v>Is-A</x:v>
      </x:c>
      <x:c r="G50" s="14" t="str">
        <x:v>Уровень государства</x:v>
      </x:c>
      <x:c r="H50" s="14" t="str">
        <x:v>Формируются общероссийскими федерациями.</x:v>
      </x:c>
      <x:c r="I50" s="14" t="str">
        <x:v>Да</x:v>
      </x:c>
      <x:c r="J50" s="14" t="str">
        <x:v>СПОРТИВНЫЕ СБОРНЫЕ КОМАНДЫ РОССИЙСКОЙ ФЕДЕРАЦИИ</x:v>
      </x:c>
      <x:c r="K50" s="14" t="str">
        <x:v>коллективы спортсменов, относящихся к различным возрастным группам, тренеров, ученых, специалистов в области физической культуры и спорта для подготовки к международным спортивным соревнованиям и участия в них от имени Российской Федерации;</x:v>
      </x:c>
      <x:c r="L50" s="14" t="str">
        <x:v>коллективы спортсменов, тренеров и специалистов формируемые общероссийскими спортивными федерациями (за исключением олимпийской команды России, паралимпийской команды России) для подготовки к международным спортивным соревнованиям и участия в них от имени Российской Федерации;</x:v>
      </x:c>
      <x:c r="M50" s="14" t="str">
        <x:v>REDEFINE</x:v>
      </x:c>
      <x:c r="N50" s="14" t="str"/>
      <x:c r="O50" s="14" t="str"/>
      <x:c r="P50" s="14" t="str"/>
      <x:c r="Q50" s="14" t="str"/>
    </x:row>
    <x:row r="51">
      <x:c r="A51" s="14" t="n">
        <x:v>50</x:v>
      </x:c>
      <x:c r="B51" s="14" t="str">
        <x:v>Спортивная делегация РФ</x:v>
      </x:c>
      <x:c r="C51" s="14" t="str">
        <x:v>Спорт</x:v>
      </x:c>
      <x:c r="D51" s="14" t="str">
        <x:v>Субъекты</x:v>
      </x:c>
      <x:c r="E51" s="14" t="str">
        <x:v>Коллективные субъекты</x:v>
      </x:c>
      <x:c r="F51" s="14" t="str">
        <x:v>Part-Of</x:v>
      </x:c>
      <x:c r="G51" s="14" t="str">
        <x:v>Представительство страны</x:v>
      </x:c>
      <x:c r="H51" s="14" t="str">
        <x:v>Составное понятие для не-олимпийских международных соревнований.</x:v>
      </x:c>
      <x:c r="I51" s="14" t="str">
        <x:v>Да</x:v>
      </x:c>
      <x:c r="J51" s="14" t="str">
        <x:v>СПОРТИВНАЯ ДЕЛЕГАЦИЯ РОССИЙСКОЙ ФЕДЕРАЦИИ</x:v>
      </x:c>
      <x:c r="K51" s="14" t="str">
        <x:v>члены спортивных сборных команд Российской Федерации, представители физкультурно-спортивных организаций, спортивных федераций, Олимпийского комитета России, Паралимпийского комитета России, Сурдлимпийского комитета России, Специальной олимпиады России, Российского студенческого спортивного союза, должностные лица органов государственной власти Российской Федерации, представляющие на международных спортивных мероприятиях, за исключением Олимпийских игр, Паралимпийских игр и других международных спортивных мероприятий, проводимых Международным олимпийским комитетом, континентальными ассоциациями национальных олимпийских комитетов и Международным паралимпийским комитетом, Российскую Федерацию и (или) обеспечивающие права и законные интересы российских спортсменов в период проведения международных спортивных мероприятий;</x:v>
      </x:c>
      <x:c r="L51" s="14" t="str">
        <x:v>члены спортивных сборных команд Российской Федерации, представители физкультурно-спортивных организаций, спортивных федераций, Олимпийского комитета России, Паралимпийского комитета России, Сурдлимпийского комитета России, Специальной олимпиады России, Российского студенческого спортивного союза, должностные лица органов государственной власти Российской Федерации, представляющие на международных спортивных мероприятиях (за исключением Олимпийских игр, Паралимпийских игр и других международных спортивных мероприятий, проводимых Международным олимпийским комитетом, континентальными ассоциациями национальных олимпийских комитетов и Международным паралимпийским комитетом), Российскую Федерацию и (или) обеспечивающие права и законные интересы российских спортсменов в период проведения международных спортивных мероприятий;</x:v>
      </x:c>
      <x:c r="M51" s="14" t="str">
        <x:v>REDEFINE</x:v>
      </x:c>
      <x:c r="N51" s="14" t="str"/>
      <x:c r="O51" s="14" t="str"/>
      <x:c r="P51" s="14" t="str"/>
      <x:c r="Q51" s="14" t="str"/>
    </x:row>
    <x:row r="52">
      <x:c r="A52" s="14" t="n">
        <x:v>51</x:v>
      </x:c>
      <x:c r="B52" s="14" t="str">
        <x:v>Спортивный агент</x:v>
      </x:c>
      <x:c r="C52" s="14" t="str">
        <x:v>Спорт</x:v>
      </x:c>
      <x:c r="D52" s="14" t="str">
        <x:v>Субъекты</x:v>
      </x:c>
      <x:c r="E52" s="14" t="str">
        <x:v>Физические / Юр. лица</x:v>
      </x:c>
      <x:c r="F52" s="14" t="str">
        <x:v>Role</x:v>
      </x:c>
      <x:c r="G52" s="14" t="str">
        <x:v>Посредничество</x:v>
      </x:c>
      <x:c r="H52" s="14" t="str">
        <x:v>Определение через деятельность по содействию в трудоустройстве.</x:v>
      </x:c>
      <x:c r="I52" s="14" t="str">
        <x:v>Нет</x:v>
      </x:c>
      <x:c r="J52" s="14" t="str"/>
      <x:c r="K52" s="14" t="str"/>
      <x:c r="L52" s="14" t="str"/>
      <x:c r="M52" s="14" t="str">
        <x:v>REVIEW</x:v>
      </x:c>
      <x:c r="N52" s="14" t="str"/>
      <x:c r="O52" s="14" t="str"/>
      <x:c r="P52" s="14" t="str"/>
      <x:c r="Q52" s="14" t="str"/>
    </x:row>
    <x:row r="53">
      <x:c r="A53" s="14" t="n">
        <x:v>52</x:v>
      </x:c>
      <x:c r="B53" s="14" t="str">
        <x:v>Спортивные сборные команды субъектов РФ</x:v>
      </x:c>
      <x:c r="C53" s="14" t="str">
        <x:v>Спорт</x:v>
      </x:c>
      <x:c r="D53" s="14" t="str">
        <x:v>Субъекты</x:v>
      </x:c>
      <x:c r="E53" s="14" t="str">
        <x:v>Коллективные субъекты</x:v>
      </x:c>
      <x:c r="F53" s="14" t="str">
        <x:v>Is-A</x:v>
      </x:c>
      <x:c r="G53" s="14" t="str">
        <x:v>Уровень региона</x:v>
      </x:c>
      <x:c r="H53" s="14" t="str">
        <x:v>Региональный аналог п. 20; формируются региональными федерациями.</x:v>
      </x:c>
      <x:c r="I53" s="14" t="str">
        <x:v>Да</x:v>
      </x:c>
      <x:c r="J53" s="14" t="str">
        <x:v>СПОРТИВНЫЕ СБОРНЫЕ КОМАНДЫ СУБЪЕКТОВ РОССИЙСКОЙ ФЕДЕРАЦИИ</x:v>
      </x:c>
      <x:c r="K53" s="14" t="str">
        <x:v>формируемые региональными спортивными федерациями коллективы спортсменов, относящихся к различным возрастным группам, тренеров, ученых, специалистов в области физической культуры и спорта для подготовки к спортивным соревнованиям и участия в них от имени субъекта Российской Федерации;</x:v>
      </x:c>
      <x:c r="L53" s="14" t="str">
        <x:v>коллективы спортсменов, тренеров и специалистов формируемые для подготовки к спортивным соревнованиям и участия в них от имени субъекта Российской Федерации</x:v>
      </x:c>
      <x:c r="M53" s="14" t="str">
        <x:v>REDEFINE</x:v>
      </x:c>
      <x:c r="N53" s="14" t="str"/>
      <x:c r="O53" s="14" t="str"/>
      <x:c r="P53" s="14" t="str"/>
      <x:c r="Q53" s="14" t="str"/>
    </x:row>
    <x:row r="54">
      <x:c r="A54" s="14" t="n">
        <x:v>53</x:v>
      </x:c>
      <x:c r="B54" s="14" t="str">
        <x:v>Спортивный судья</x:v>
      </x:c>
      <x:c r="C54" s="14" t="str">
        <x:v>Спорт</x:v>
      </x:c>
      <x:c r="D54" s="14" t="str">
        <x:v>Субъекты</x:v>
      </x:c>
      <x:c r="E54" s="14" t="str">
        <x:v>Физические лица</x:v>
      </x:c>
      <x:c r="F54" s="14" t="str">
        <x:v>Role</x:v>
      </x:c>
      <x:c r="G54" s="14" t="str">
        <x:v>Квалификация / Контроль</x:v>
      </x:c>
      <x:c r="H54" s="14" t="str">
        <x:v>Определение через специальную подготовку и квалификационную категорию.</x:v>
      </x:c>
      <x:c r="I54" s="14" t="str">
        <x:v>Да</x:v>
      </x:c>
      <x:c r="J54" s="14" t="str">
        <x:v>СПОРТИВНЫЙ СУДЬЯ</x:v>
      </x:c>
      <x:c r="K54" s="14" t="str">
        <x:v>физическое лицо, уполномоченное организатором спортивного соревнования обеспечить соблюдение правил вида спорта и положения (регламента) о спортивном соревновании, прошедшее специальную подготовку и получившее соответствующую квалификационную категорию;</x:v>
      </x:c>
      <x:c r="L54" s="14" t="str">
        <x:v>физическое лицо, уполномоченное организатором спортивного соревнования обеспечить соблюдение правил вида спорта и положения (регламента) о спортивном соревновании, прошедшее специальную подготовку и получившее соответствующую квалификационную категорию;</x:v>
      </x:c>
      <x:c r="M54" s="14" t="str">
        <x:v>KEEP</x:v>
      </x:c>
      <x:c r="N54" s="14" t="str"/>
      <x:c r="O54" s="14" t="str"/>
      <x:c r="P54" s="14" t="str"/>
      <x:c r="Q54" s="14" t="str"/>
    </x:row>
    <x:row r="55">
      <x:c r="A55" s="14" t="n">
        <x:v>54</x:v>
      </x:c>
      <x:c r="B55" s="14" t="str">
        <x:v>Спортсмен</x:v>
      </x:c>
      <x:c r="C55" s="14" t="str">
        <x:v>Спорт</x:v>
      </x:c>
      <x:c r="D55" s="14" t="str">
        <x:v>Субъекты</x:v>
      </x:c>
      <x:c r="E55" s="14" t="str">
        <x:v>Физические лица</x:v>
      </x:c>
      <x:c r="F55" s="14" t="str">
        <x:v>Role</x:v>
      </x:c>
      <x:c r="G55" s="14" t="str">
        <x:v>Участие в состязаниях</x:v>
      </x:c>
      <x:c r="H55" s="14" t="str">
        <x:v>Определение через два признака: занятия спортом + выступления.</x:v>
      </x:c>
      <x:c r="I55" s="14" t="str">
        <x:v>Да</x:v>
      </x:c>
      <x:c r="J55" s="14" t="str">
        <x:v>СПОРТСМЕН</x:v>
      </x:c>
      <x:c r="K55" s="14" t="str">
        <x:v>физическое лицо, занимающееся выбранным видом спорта Или видами спорта и выступающее на спортивных соревнованиях;</x:v>
      </x:c>
      <x:c r="L55" s="14" t="str">
        <x:v>физическое лицо, осуществляющее систематическую спортивную подготовку и выступающее на соревнованиях в избранном виде спорта.</x:v>
      </x:c>
      <x:c r="M55" s="14" t="str">
        <x:v>REDEFINE</x:v>
      </x:c>
      <x:c r="N55" s="14" t="str"/>
      <x:c r="O55" s="14" t="str"/>
      <x:c r="P55" s="14" t="str"/>
      <x:c r="Q55" s="14" t="str"/>
    </x:row>
    <x:row r="56">
      <x:c r="A56" s="14" t="n">
        <x:v>55</x:v>
      </x:c>
      <x:c r="B56" s="14" t="str">
        <x:v>Спортсмен высокого класса</x:v>
      </x:c>
      <x:c r="C56" s="14" t="str">
        <x:v>Спорт</x:v>
      </x:c>
      <x:c r="D56" s="14" t="str">
        <x:v>Субъекты</x:v>
      </x:c>
      <x:c r="E56" s="14" t="str">
        <x:v>Спортсмен</x:v>
      </x:c>
      <x:c r="F56" s="14" t="str">
        <x:v>Is-A</x:v>
      </x:c>
      <x:c r="G56" s="14" t="str">
        <x:v>Звание</x:v>
      </x:c>
      <x:c r="H56" s="14" t="str">
        <x:v>Классификация по формальному спортивному званию.</x:v>
      </x:c>
      <x:c r="I56" s="14" t="str">
        <x:v>Нет</x:v>
      </x:c>
      <x:c r="J56" s="14" t="str"/>
      <x:c r="K56" s="14" t="str"/>
      <x:c r="L56" s="14" t="str"/>
      <x:c r="M56" s="14" t="str">
        <x:v>REVIEW</x:v>
      </x:c>
      <x:c r="N56" s="14" t="str"/>
      <x:c r="O56" s="14" t="str"/>
      <x:c r="P56" s="14" t="str"/>
      <x:c r="Q56" s="14" t="str"/>
    </x:row>
    <x:row r="57">
      <x:c r="A57" s="14" t="n">
        <x:v>56</x:v>
      </x:c>
      <x:c r="B57" s="14" t="str">
        <x:v>Студенческий спорт</x:v>
      </x:c>
      <x:c r="C57" s="14" t="str">
        <x:v>Спорт</x:v>
      </x:c>
      <x:c r="D57" s="14" t="str">
        <x:v>Сферы и виды спорта</x:v>
      </x:c>
      <x:c r="E57" s="14" t="str">
        <x:v>Спорт</x:v>
      </x:c>
      <x:c r="F57" s="14" t="str">
        <x:v>Is-A</x:v>
      </x:c>
      <x:c r="G57" s="14" t="str">
        <x:v>Обучение в вузе/колледже</x:v>
      </x:c>
      <x:c r="H57" s="14" t="str">
        <x:v>Классификация по институциональному статусу участников.</x:v>
      </x:c>
      <x:c r="I57" s="14" t="str">
        <x:v>Да</x:v>
      </x:c>
      <x:c r="J57" s="14" t="str">
        <x:v>СТУДЕНЧЕСКИЙ СПОРТ</x:v>
      </x:c>
      <x:c r="K57" s="14" t="str">
        <x:v>часть спорта, направленная на физическое воспитание и физическую подготовку обучающихся в профессиональных образовательных организациях и образовательных организациях высшего образования, их подготовку к участию и участие в физкультурных мероприятиях и спортивных мероприятиях, в том числе в официальных физкультурных мероприятиях и спортивных мероприятиях;</x:v>
      </x:c>
      <x:c r="L57" s="14" t="str">
        <x:v>форма организации общественных отношений направленная на физическое воспитание и спортивную подготовку обучающихся в профессиональных образовательных организациях и образовательных организациях высшего образования;</x:v>
      </x:c>
      <x:c r="M57" s="14" t="str">
        <x:v>REDEFINE</x:v>
      </x:c>
      <x:c r="N57" s="14" t="str"/>
      <x:c r="O57" s="14" t="str"/>
      <x:c r="P57" s="14" t="str"/>
      <x:c r="Q57" s="14" t="str"/>
    </x:row>
    <x:row r="58">
      <x:c r="A58" s="14" t="n">
        <x:v>57</x:v>
      </x:c>
      <x:c r="B58" s="14" t="str">
        <x:v>Студенческая спортивная лига</x:v>
      </x:c>
      <x:c r="C58" s="14" t="str">
        <x:v>Спорт</x:v>
      </x:c>
      <x:c r="D58" s="14" t="str">
        <x:v>Субъекты</x:v>
      </x:c>
      <x:c r="E58" s="14" t="str">
        <x:v>Организации и объединения</x:v>
      </x:c>
      <x:c r="F58" s="14" t="str">
        <x:v>Is-A</x:v>
      </x:c>
      <x:c r="G58" s="14" t="str">
        <x:v>Статус НКО / Вузы</x:v>
      </x:c>
      <x:c r="H58" s="14" t="str">
        <x:v>Нормативное ограничение: «По одному виду спорта — только одна студенческая лига».</x:v>
      </x:c>
      <x:c r="I58" s="14" t="str">
        <x:v>Нет</x:v>
      </x:c>
      <x:c r="J58" s="14" t="str"/>
      <x:c r="K58" s="14" t="str"/>
      <x:c r="L58" s="14" t="str"/>
      <x:c r="M58" s="14" t="str">
        <x:v>REVIEW</x:v>
      </x:c>
      <x:c r="N58" s="14" t="str"/>
      <x:c r="O58" s="14" t="str"/>
      <x:c r="P58" s="14" t="str"/>
      <x:c r="Q58" s="14" t="str"/>
    </x:row>
    <x:row r="59">
      <x:c r="A59" s="14" t="n">
        <x:v>58</x:v>
      </x:c>
      <x:c r="B59" s="14" t="str">
        <x:v>Тренер-преподаватель (тренер)</x:v>
      </x:c>
      <x:c r="C59" s="14" t="str">
        <x:v>Спорт</x:v>
      </x:c>
      <x:c r="D59" s="14" t="str">
        <x:v>Субъекты</x:v>
      </x:c>
      <x:c r="E59" s="14" t="str">
        <x:v>Физические лица</x:v>
      </x:c>
      <x:c r="F59" s="14" t="str">
        <x:v>Role</x:v>
      </x:c>
      <x:c r="G59" s="14" t="str">
        <x:v>Наличие образования</x:v>
      </x:c>
      <x:c r="H59" s="14" t="str">
        <x:v>Требует наличия профильного среднего или высшего образования.</x:v>
      </x:c>
      <x:c r="I59" s="14" t="str">
        <x:v>Да</x:v>
      </x:c>
      <x:c r="J59" s="14" t="str">
        <x:v>ТРЕНЕР-ПРЕПОДАВАТЕЛЬ (ДАЛЕЕ ТАКЖЕ – ТРЕНЕР)</x:v>
      </x:c>
      <x:c r="K59" s="14" t="str">
        <x:v>физическое лицо, которое имеет соответствующее среднее профессиональное образование или высшее образование, организует учебно-тренировочный процесс, включая проведение со спортсменами, обучающимися учебно-тренировочных мероприятий, а также руководит их состязательной деятельностью для достижения спортивных результатов;</x:v>
      </x:c>
      <x:c r="L59" s="14" t="str">
        <x:v>физическое лицо, которое имеет соответствующее среднее профессиональное образование или высшее образование, состоит в трудовых отношениях с организацией, осуществляющей спортивную подготовку и в должностные обязанности которого входит проведение со спортсменами учебно-тренировочных мероприятий и организация их участия в соревнованиях, либо физическое лицо, которое является индивидуальным предпринимателем, непосредственно осуществляющее физкультурно-спортивную деятельность. спортивная подготовка - вид деятельности, целью которой является успешное выступление спортсмена в соревнованиях по избранному виду спорта. педагогический работник - физическое лицо, которое состоит в трудовых, служебных отношениях с организацией, осуществляющей образовательную деятельность, и выполняет обязанности по обучению, воспитанию обучающихся и (или) организации образовательной деятельности (ФЗ-273). медицинский работник – физическое лицо, которое имеет медицинское или иное образование, работает в медицинской организации по должности, включенной в номенклатуру должностей медицинских работников и фармацевтических работников, и в трудовые (должностные) обязанности которого входит осуществление медицинской деятельности, либо физическое лицо, которое является индивидуальным предпринимателем, непосредственно осуществляющим медицинскую деятельность. (ФЗ-323)</x:v>
      </x:c>
      <x:c r="M59" s="14" t="str">
        <x:v>REDEFINE</x:v>
      </x:c>
      <x:c r="N59" s="14" t="str"/>
      <x:c r="O59" s="14" t="str"/>
      <x:c r="P59" s="14" t="str"/>
      <x:c r="Q59" s="14" t="str"/>
    </x:row>
    <x:row r="60">
      <x:c r="A60" s="14" t="n">
        <x:v>59</x:v>
      </x:c>
      <x:c r="B60" s="14" t="str">
        <x:v>Федеральные стандарты спортивной подготовки</x:v>
      </x:c>
      <x:c r="C60" s="14" t="str">
        <x:v>Спорт</x:v>
      </x:c>
      <x:c r="D60" s="14" t="str">
        <x:v>Инфраструктура и Нормы</x:v>
      </x:c>
      <x:c r="E60" s="14" t="str">
        <x:v>Спортивная подготовка</x:v>
      </x:c>
      <x:c r="F60" s="14" t="str">
        <x:v>Attribute</x:v>
      </x:c>
      <x:c r="G60" s="14" t="str">
        <x:v>Нормативные требования</x:v>
      </x:c>
      <x:c r="H60" s="14" t="str">
        <x:v>Минимальные требования к подготовке.</x:v>
      </x:c>
      <x:c r="I60" s="14" t="str">
        <x:v>Да</x:v>
      </x:c>
      <x:c r="J60" s="14" t="str">
        <x:v>ФЕДЕРАЛЬНЫЕ СТАНДАРТЫ СПОРТИВНОЙ ПОДГОТОВКИ</x:v>
      </x:c>
      <x:c r="K60" s="14" t="str">
        <x:v>совокупность минимальных требований к спортивной подготовке по видам спорта;</x:v>
      </x:c>
      <x:c r="L60" s="14" t="str">
        <x:v>совокупность минимальных требований к спортивной подготовке по видам спорта;</x:v>
      </x:c>
      <x:c r="M60" s="14" t="str">
        <x:v>KEEP</x:v>
      </x:c>
      <x:c r="N60" s="14" t="str"/>
      <x:c r="O60" s="14" t="str"/>
      <x:c r="P60" s="14" t="str"/>
      <x:c r="Q60" s="14" t="str"/>
    </x:row>
    <x:row r="61">
      <x:c r="A61" s="14" t="n">
        <x:v>60</x:v>
      </x:c>
      <x:c r="B61" s="14" t="str">
        <x:v>Физическое воспитание</x:v>
      </x:c>
      <x:c r="C61" s="14" t="str">
        <x:v>Физическая культура</x:v>
      </x:c>
      <x:c r="D61" s="14" t="str">
        <x:v>Деятельность и процессы</x:v>
      </x:c>
      <x:c r="E61" s="14" t="str">
        <x:v>Физическая культура</x:v>
      </x:c>
      <x:c r="F61" s="14" t="str">
        <x:v>Is-A</x:v>
      </x:c>
      <x:c r="G61" s="14" t="str">
        <x:v>Педагогический процесс</x:v>
      </x:c>
      <x:c r="H61" s="14" t="str">
        <x:v>Педагогический процесс развития способностей.</x:v>
      </x:c>
      <x:c r="I61" s="14" t="str">
        <x:v>Да</x:v>
      </x:c>
      <x:c r="J61" s="14" t="str">
        <x:v>ФИЗИЧЕСКОЕ ВОСПИТАНИЕ</x:v>
      </x:c>
      <x:c r="K61" s="14" t="str">
        <x:v>процесс, направленный на воспитание личности, развитие физических возможностей человека, приобретение им умений и знаний в области физической культуры и спорта в целях формирования всесторонне развитого и физически здорового человека с высоким уровнем физической культуры;</x:v>
      </x:c>
      <x:c r="L61" s="14" t="str">
        <x:v>вид воспитания, целью которого является развитие личности человека основанный на укреплении его здоровья, совершенствовании психофизических способностей, овладении специальными знаниями, двигательными умениями и навыками в сфере физической культуры и спорта, приобретении опыта их применения в процессе осознанной двигательной деятельности и формирования мотивации к здоровому образу жизни.</x:v>
      </x:c>
      <x:c r="M61" s="14" t="str">
        <x:v>REDEFINE</x:v>
      </x:c>
      <x:c r="N61" s="14" t="str"/>
      <x:c r="O61" s="14" t="str"/>
      <x:c r="P61" s="14" t="str"/>
      <x:c r="Q61" s="14" t="str"/>
    </x:row>
    <x:row r="62">
      <x:c r="A62" s="14" t="n">
        <x:v>61</x:v>
      </x:c>
      <x:c r="B62" s="14" t="str">
        <x:v>Физическая культура</x:v>
      </x:c>
      <x:c r="C62" s="14" t="str">
        <x:v>Физическая культура</x:v>
      </x:c>
      <x:c r="D62" s="14" t="str">
        <x:v>Высший мета-класс</x:v>
      </x:c>
      <x:c r="E62" s="14" t="str">
        <x:v>—</x:v>
      </x:c>
      <x:c r="F62" s="14" t="str">
        <x:v>Root</x:v>
      </x:c>
      <x:c r="G62" s="14" t="str">
        <x:v>Социокультурный</x:v>
      </x:c>
      <x:c r="H62" s="14" t="str">
        <x:v>Высший концептуальный узел; логически подчинен спорту в законе, а не наоборот.</x:v>
      </x:c>
      <x:c r="I62" s="14" t="str">
        <x:v>Да</x:v>
      </x:c>
      <x:c r="J62" s="14" t="str">
        <x:v>ФИЗИЧЕСКАЯ КУЛЬТУРА</x:v>
      </x:c>
      <x:c r="K62" s="14" t="str">
        <x:v>часть культуры, представляющая собой совокупность ценностей, норм и знаний, создаваемых и используемых обществом в целях физического и интеллектуального развития способностей человека, совершенствования его двигательной активности и формирования здорового образа жизни, социальной адаптации путем физического воспитания, физической подготовки и физического развития.</x:v>
      </x:c>
      <x:c r="L62" s="14" t="str">
        <x:v>часть социально-культурной сферы общества, сущность которой составляю общественные отношения направленные на удовлетворение потребности в двигательной активности, сохранении и укреплении здоровья, совершенствовании психофизических способностей, овладении специальными знаниями, двигательными умениями и навыками, приобретение опыта их применения в процессе двигательной деятельности и формирование мотивации к здоровому образу жизни.</x:v>
      </x:c>
      <x:c r="M62" s="14" t="str">
        <x:v>REDEFINE</x:v>
      </x:c>
      <x:c r="N62" s="14" t="str"/>
      <x:c r="O62" s="14" t="str"/>
      <x:c r="P62" s="14" t="str"/>
      <x:c r="Q62" s="14" t="str"/>
    </x:row>
    <x:row r="63">
      <x:c r="A63" s="14" t="n">
        <x:v>62</x:v>
      </x:c>
      <x:c r="B63" s="14" t="str">
        <x:v>Физическая подготовка</x:v>
      </x:c>
      <x:c r="C63" s="14" t="str">
        <x:v>Физическая культура</x:v>
      </x:c>
      <x:c r="D63" s="14" t="str">
        <x:v>Деятельность и процессы</x:v>
      </x:c>
      <x:c r="E63" s="14" t="str">
        <x:v>Физическая культура</x:v>
      </x:c>
      <x:c r="F63" s="14" t="str">
        <x:v>Is-A</x:v>
      </x:c>
      <x:c r="G63" s="14" t="str">
        <x:v>Развитие физ. качеств</x:v>
      </x:c>
      <x:c r="H63" s="14" t="str">
        <x:v>Узкий деятельностный процесс развития физических качеств.</x:v>
      </x:c>
      <x:c r="I63" s="14" t="str">
        <x:v>Нет</x:v>
      </x:c>
      <x:c r="J63" s="14" t="str"/>
      <x:c r="K63" s="14" t="str"/>
      <x:c r="L63" s="14" t="str"/>
      <x:c r="M63" s="14" t="str">
        <x:v>REVIEW</x:v>
      </x:c>
      <x:c r="N63" s="14" t="str"/>
      <x:c r="O63" s="14" t="str"/>
      <x:c r="P63" s="14" t="str"/>
      <x:c r="Q63" s="14" t="str"/>
    </x:row>
    <x:row r="64">
      <x:c r="A64" s="14" t="n">
        <x:v>63</x:v>
      </x:c>
      <x:c r="B64" s="14" t="str">
        <x:v>Физическая реабилитация</x:v>
      </x:c>
      <x:c r="C64" s="14" t="str">
        <x:v>Физическая культура</x:v>
      </x:c>
      <x:c r="D64" s="14" t="str">
        <x:v>Деятельность и процессы</x:v>
      </x:c>
      <x:c r="E64" s="14" t="str">
        <x:v>Физическая культура</x:v>
      </x:c>
      <x:c r="F64" s="14" t="str">
        <x:v>Is-A</x:v>
      </x:c>
      <x:c r="G64" s="14" t="str">
        <x:v>Восстановление функций</x:v>
      </x:c>
      <x:c r="H64" s="14" t="str">
        <x:v>Определение увязано с адаптивным спортом и инвалидами.</x:v>
      </x:c>
      <x:c r="I64" s="14" t="str">
        <x:v>Да</x:v>
      </x:c>
      <x:c r="J64" s="14" t="str">
        <x:v>ФИЗИЧЕСКАЯ РЕАБИЛИТАЦИЯ</x:v>
      </x:c>
      <x:c r="K64" s="14" t="str">
        <x:v>восстановление (в том числе коррекция и компенсация) нарушенных или временно утраченных функций организма человека и способностей к общественной и профессиональной деятельности инвалидов и лиц с ограниченными возможностями здоровья с использованием средств и методов адаптивной физической культуры и адаптивного спорта, которые направлены на устранение или возможно более полную компенсацию ограничений жизнедеятельности, вызванных нарушением здоровья;</x:v>
      </x:c>
      <x:c r="L64" s="14" t="str">
        <x:v>вид деятельности, целью которой является восстановление (в том числе коррекция и компенсация) нарушенных или временно утраченных функций организма человека и способностей к общественной и профессиональной деятельности инвалидов и лиц с ограниченными возможностями здоровья с использованием средств и методов адаптивной физической культуры и адаптивного спорта, которые направлены на устранение или возможно более полную компенсацию ограничений жизнедеятельности, вызванных нарушением здоровья;</x:v>
      </x:c>
      <x:c r="M64" s="14" t="str">
        <x:v>REDEFINE</x:v>
      </x:c>
      <x:c r="N64" s="14" t="str"/>
      <x:c r="O64" s="14" t="str"/>
      <x:c r="P64" s="14" t="str"/>
      <x:c r="Q64" s="14" t="str"/>
    </x:row>
    <x:row r="65">
      <x:c r="A65" s="14" t="n">
        <x:v>64</x:v>
      </x:c>
      <x:c r="B65" s="14" t="str">
        <x:v>Физкультурные мероприятия</x:v>
      </x:c>
      <x:c r="C65" s="14" t="str">
        <x:v>Физическая культура</x:v>
      </x:c>
      <x:c r="D65" s="14" t="str">
        <x:v>Мероприятия и события</x:v>
      </x:c>
      <x:c r="E65" s="14" t="str">
        <x:v>Физическая культура</x:v>
      </x:c>
      <x:c r="F65" s="14" t="str">
        <x:v>Is-A</x:v>
      </x:c>
      <x:c r="G65" s="14" t="str">
        <x:v>Занятия граждан</x:v>
      </x:c>
      <x:c r="H65" s="14" t="str">
        <x:v>Организованные занятия граждан физической культурой.</x:v>
      </x:c>
      <x:c r="I65" s="14" t="str">
        <x:v>Да</x:v>
      </x:c>
      <x:c r="J65" s="14" t="str">
        <x:v>ФИЗКУЛЬТУРНЫЕ МЕРОПРИЯТИЯ</x:v>
      </x:c>
      <x:c r="K65" s="14" t="str">
        <x:v>организованные занятия граждан физической культурой;</x:v>
      </x:c>
      <x:c r="L65" s="14" t="str">
        <x:v>организованные занятия граждан физической культурой;</x:v>
      </x:c>
      <x:c r="M65" s="14" t="str">
        <x:v>KEEP</x:v>
      </x:c>
      <x:c r="N65" s="14" t="str"/>
      <x:c r="O65" s="14" t="str"/>
      <x:c r="P65" s="14" t="str"/>
      <x:c r="Q65" s="14" t="str"/>
    </x:row>
    <x:row r="66">
      <x:c r="A66" s="14" t="n">
        <x:v>65</x:v>
      </x:c>
      <x:c r="B66" s="14" t="str">
        <x:v>Физкультурно-оздоровительная услуга</x:v>
      </x:c>
      <x:c r="C66" s="14" t="str">
        <x:v>Физическая культура</x:v>
      </x:c>
      <x:c r="D66" s="14" t="str">
        <x:v>Деятельность и процессы</x:v>
      </x:c>
      <x:c r="E66" s="14" t="str">
        <x:v>Физическая культура</x:v>
      </x:c>
      <x:c r="F66" s="14" t="str">
        <x:v>Is-A</x:v>
      </x:c>
      <x:c r="G66" s="14" t="str">
        <x:v>Экономическая услуга</x:v>
      </x:c>
      <x:c r="H66" s="14" t="str">
        <x:v>Экономическая категория, введенная в понятийный аппарат.</x:v>
      </x:c>
      <x:c r="I66" s="14" t="str">
        <x:v>Да</x:v>
      </x:c>
      <x:c r="J66" s="14" t="str">
        <x:v>ФИЗКУЛЬТУРНО-ОЗДОРОВИТЕЛЬНАЯ УСЛУГА</x:v>
      </x:c>
      <x:c r="K66" s="14" t="str">
        <x:v>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сохранении и укреплении здоровья, физической подготовке и физическом развитии, включающая в себя в том числе проведение физкультурных мероприятий;</x:v>
      </x:c>
      <x:c r="L66" s="14" t="str">
        <x:v>деятельность, осуществляемая физкультурно-спортивной организацией независимо от ее организационно-правовой формы, направленная на удовлетворение потребностей граждан в сохранении и укреплении здоровья, физической подготовке и физическом развитии, включающая в себя в том числе проведение физкультурных мероприятий;</x:v>
      </x:c>
      <x:c r="M66" s="14" t="str">
        <x:v>KEEP</x:v>
      </x:c>
      <x:c r="N66" s="14" t="str"/>
      <x:c r="O66" s="14" t="str"/>
      <x:c r="P66" s="14" t="str"/>
      <x:c r="Q66" s="14" t="str"/>
    </x:row>
    <x:row r="67">
      <x:c r="A67" s="14" t="n">
        <x:v>66</x:v>
      </x:c>
      <x:c r="B67" s="14" t="str">
        <x:v>Физкультурно-спортивная организация</x:v>
      </x:c>
      <x:c r="C67" s="14" t="str">
        <x:v>Физическая культура</x:v>
      </x:c>
      <x:c r="D67" s="14" t="str">
        <x:v>Субъекты</x:v>
      </x:c>
      <x:c r="E67" s="14" t="str">
        <x:v>Организации и объединения</x:v>
      </x:c>
      <x:c r="F67" s="14" t="str">
        <x:v>Root</x:v>
      </x:c>
      <x:c r="G67" s="14" t="str">
        <x:v>Юридическое лицо / ИП</x:v>
      </x:c>
      <x:c r="H67" s="14" t="str">
        <x:v>Родовой класс для всех организаций в сфере ФКиС.</x:v>
      </x:c>
      <x:c r="I67" s="14" t="str">
        <x:v>Да</x:v>
      </x:c>
      <x:c r="J67" s="14" t="str">
        <x:v>ФИЗКУЛЬТУРНО-СПОРТИВНАЯ ОРГАНИЗАЦИЯ</x:v>
      </x:c>
      <x:c r="K67" s="14" t="str">
        <x:v>юридическое лицо независимо от его организационно-правовой формы, осуществляющее деятельность в области физической культуры и спорта в качестве основного вида деятельности, в том числе имеющее право на оказание физкультурно-оздоровительных услуг. Положения настоящего Федерального закона, регулирующие деятельность физкультурно-спортивных организаций, применяются соответственно к индивидуальным предпринимателям, осуществляющим деятельность в области физической культуры и спорта в качестве основного вида деятельности, в том числе оказывающим физкультурно-оздоровительные услуги;</x:v>
      </x:c>
      <x:c r="L67" s="14" t="str">
        <x:v>юридическое лицо независимо от его организационно-правовой формы, осуществляющее деятельность в области физической культуры и спорта в качестве основного вида деятельности, в том числе имеющее право на оказание физкультурно-оздоровительных услуг. Положения настоящего Федерального закона, регулирующие деятельность физкультурно-спортивных организаций, применяются соответственно к индивидуальным предпринимателям, осуществляющим деятельность в области физической культуры и спорта в качестве основного вида деятельности, в том числе оказывающим физкультурно-оздоровительные услуги;</x:v>
      </x:c>
      <x:c r="M67" s="14" t="str">
        <x:v>KEEP</x:v>
      </x:c>
      <x:c r="N67" s="14" t="str"/>
      <x:c r="O67" s="14" t="str"/>
      <x:c r="P67" s="14" t="str"/>
      <x:c r="Q67" s="14" t="str"/>
    </x:row>
    <x:row r="68">
      <x:c r="A68" s="14" t="n">
        <x:v>67</x:v>
      </x:c>
      <x:c r="B68" s="14" t="str">
        <x:v>Школьный спорт</x:v>
      </x:c>
      <x:c r="C68" s="14" t="str">
        <x:v>Спорт</x:v>
      </x:c>
      <x:c r="D68" s="14" t="str">
        <x:v>Сферы и виды спорта</x:v>
      </x:c>
      <x:c r="E68" s="14" t="str">
        <x:v>Детско-юношеский спорт</x:v>
      </x:c>
      <x:c r="F68" s="14" t="str">
        <x:v>Is-A</x:v>
      </x:c>
      <x:c r="G68" s="14" t="str">
        <x:v>Обучение в школе</x:v>
      </x:c>
      <x:c r="H68" s="14" t="str">
        <x:v>Двойное вложение: часть детско-юношеского спорта.</x:v>
      </x:c>
      <x:c r="I68" s="14" t="str">
        <x:v>Да</x:v>
      </x:c>
      <x:c r="J68" s="14" t="str">
        <x:v>ШКОЛЬНЫЙ СПОРТ</x:v>
      </x:c>
      <x:c r="K68" s="14" t="str">
        <x:v>часть детско-юношеского спорта, направленная на физическое воспитание и физическую подготовку обучающихся в общеобразовательных организациях, их подготовку к участию и участие в физкультурных мероприятиях и спортивных мероприятиях, в том числе в официальных физкультурных мероприятиях и спортивных мероприятиях;</x:v>
      </x:c>
      <x:c r="L68" s="14" t="str">
        <x:v>форма организации общественных отношений, направленная на физическое воспитание и спортивную подготовку лиц обучающихся в общеобразовательных организациях,</x:v>
      </x:c>
      <x:c r="M68" s="14" t="str">
        <x:v>REDEFINE</x:v>
      </x:c>
      <x:c r="N68" s="14" t="str"/>
      <x:c r="O68" s="14" t="str"/>
      <x:c r="P68" s="14" t="str"/>
      <x:c r="Q68" s="14" t="str"/>
    </x:row>
    <x:row r="69">
      <x:c r="A69" s="14" t="n">
        <x:v>68</x:v>
      </x:c>
      <x:c r="B69" s="14" t="str">
        <x:v>Школьная спортивная лига</x:v>
      </x:c>
      <x:c r="C69" s="14" t="str">
        <x:v>Спорт</x:v>
      </x:c>
      <x:c r="D69" s="14" t="str">
        <x:v>Субъекты</x:v>
      </x:c>
      <x:c r="E69" s="14" t="str">
        <x:v>Организации и объединения</x:v>
      </x:c>
      <x:c r="F69" s="14" t="str">
        <x:v>Is-A</x:v>
      </x:c>
      <x:c r="G69" s="14" t="str">
        <x:v>Статус НКО / Школы</x:v>
      </x:c>
      <x:c r="H69" s="14" t="str">
        <x:v>НКО, создаваемое школьными спортивными клубами.</x:v>
      </x:c>
      <x:c r="I69" s="14" t="str">
        <x:v>Нет</x:v>
      </x:c>
      <x:c r="J69" s="14" t="str"/>
      <x:c r="K69" s="14" t="str"/>
      <x:c r="L69" s="14" t="str"/>
      <x:c r="M69" s="14" t="str">
        <x:v>REVIEW</x:v>
      </x:c>
      <x:c r="N69" s="14" t="str"/>
      <x:c r="O69" s="14" t="str"/>
      <x:c r="P69" s="14" t="str"/>
      <x:c r="Q69" s="14" t="str"/>
    </x:row>
    <x:row r="70">
      <x:c r="A70" s="14" t="n">
        <x:v>69</x:v>
      </x:c>
      <x:c r="B70" s="14" t="str">
        <x:v>Целевая комплексная программа подготовки спортсменов</x:v>
      </x:c>
      <x:c r="C70" s="14" t="str">
        <x:v>Спорт</x:v>
      </x:c>
      <x:c r="D70" s="14" t="str">
        <x:v>Инфраструктура и Нормы</x:v>
      </x:c>
      <x:c r="E70" s="14" t="str">
        <x:v>Программа развития вида спорта</x:v>
      </x:c>
      <x:c r="F70" s="14" t="str">
        <x:v>Part-Of</x:v>
      </x:c>
      <x:c r="G70" s="14" t="str">
        <x:v>Подготовка к Играм</x:v>
      </x:c>
      <x:c r="H70" s="14" t="str">
        <x:v>Составная часть программы развития вида спорта (п. 10.1).</x:v>
      </x:c>
      <x:c r="I70" s="14" t="str">
        <x:v>Нет</x:v>
      </x:c>
      <x:c r="J70" s="14" t="str"/>
      <x:c r="K70" s="14" t="str"/>
      <x:c r="L70" s="14" t="str"/>
      <x:c r="M70" s="14" t="str">
        <x:v>REVIEW</x:v>
      </x:c>
      <x:c r="N70" s="14" t="str"/>
      <x:c r="O70" s="14" t="str"/>
      <x:c r="P70" s="14" t="str"/>
      <x:c r="Q70" s="14" t="str"/>
    </x:row>
  </x:sheetData>
  <x:conditionalFormatting sqref="I2:I70">
    <x:cfRule type="expression" dxfId="0" priority="1">
      <x:formula>I2="Да"</x:formula>
    </x:cfRule>
    <x:cfRule type="expression" dxfId="1" priority="2">
      <x:formula>I2="Нет"</x:formula>
    </x:cfRule>
  </x:conditionalFormatting>
  <x:conditionalFormatting sqref="M2:M70">
    <x:cfRule type="expression" dxfId="2" priority="3">
      <x:formula>M2="REDEFINE"</x:formula>
    </x:cfRule>
    <x:cfRule type="expression" dxfId="3" priority="4">
      <x:formula>M2="KEEP"</x:formula>
    </x:cfRule>
    <x:cfRule type="expression" dxfId="4" priority="5">
      <x:formula>M2="REVIEW"</x:formula>
    </x:cfRule>
  </x:conditionalFormatting>
  <x:dataValidations count="3">
    <x:dataValidation type="list" sqref="M2:M70">
      <x:formula1>Справочники!$A$2:$A$9</x:formula1>
    </x:dataValidation>
    <x:dataValidation type="list" sqref="O2:O70">
      <x:formula1>Справочники!$B$2:$B$7</x:formula1>
    </x:dataValidation>
    <x:dataValidation type="list" sqref="P2:P70">
      <x:formula1>Справочники!$C$2:$C$14</x:formula1>
    </x:dataValidation>
  </x:dataValidations>
  <x:pageMargins left="0.7" right="0.7" top="0.75" bottom="0.75" header="0.3" footer="0.3"/>
  <x:tableParts count="1">
    <x:tablePart xmlns:r="http://schemas.openxmlformats.org/officeDocument/2006/relationships" r:id="R4da60a8d44754616"/>
  </x:tableParts>
</x:worksheet>
</file>

<file path=xl/worksheets/sheet3.xml><?xml version="1.0" encoding="utf-8"?>
<x:worksheet xmlns:x="http://schemas.openxmlformats.org/spreadsheetml/2006/main">
  <x:sheetFormatPr defaultRowHeight="15"/>
  <x:cols>
    <x:col min="1" max="1" width="34" hidden="0" customWidth="1"/>
    <x:col min="2" max="2" width="48" hidden="0" customWidth="1"/>
    <x:col min="3" max="3" width="52" hidden="0" customWidth="1"/>
    <x:col min="4" max="4" width="14" hidden="0" customWidth="1"/>
    <x:col min="5" max="5" width="28" hidden="0" customWidth="1"/>
    <x:col min="6" max="6" width="14" hidden="0" customWidth="1"/>
    <x:col min="7" max="7" width="20" hidden="0" customWidth="1"/>
    <x:col min="8" max="8" width="38" hidden="0" customWidth="1"/>
  </x:cols>
  <x:sheetData>
    <x:row r="1" ht="34" customHeight="1">
      <x:c r="A1" s="20" t="str">
        <x:v>Новый термин</x:v>
      </x:c>
      <x:c r="B1" s="20" t="str">
        <x:v>Определение / контекст в проекте</x:v>
      </x:c>
      <x:c r="C1" s="20" t="str">
        <x:v>Предлагаемая формулировка</x:v>
      </x:c>
      <x:c r="D1" s="20" t="str">
        <x:v>Статус</x:v>
      </x:c>
      <x:c r="E1" s="20" t="str">
        <x:v>TO-BE родитель</x:v>
      </x:c>
      <x:c r="F1" s="20" t="str">
        <x:v>TO-BE связь</x:v>
      </x:c>
      <x:c r="G1" s="20" t="str">
        <x:v>Семантический тип</x:v>
      </x:c>
      <x:c r="H1" s="20" t="str">
        <x:v>Комментарий</x:v>
      </x:c>
    </x:row>
    <x:row r="2">
      <x:c r="A2" s="14" t="str">
        <x:v>Правила Соревнований По Виду Спорта</x:v>
      </x:c>
      <x:c r="B2" s="14" t="str"/>
      <x:c r="C2" s="14" t="str">
        <x:v>это официальный документ, утвержденный в установленном настоящим Федеральным законом порядке, в котором изложены условия и порядок проведения соревнований по данному виду спорта, права и обязанности участников, организаторов, судей.</x:v>
      </x:c>
      <x:c r="D2" s="14" t="str">
        <x:v>ADD</x:v>
      </x:c>
      <x:c r="E2" s="14" t="str"/>
      <x:c r="F2" s="14" t="str"/>
      <x:c r="G2" s="14" t="str"/>
      <x:c r="H2" s="14" t="str">
        <x:v>Новый термин из проекта руководителя; отсутствует среди исходных 69 терминов статьи.</x:v>
      </x:c>
    </x:row>
    <x:row r="3">
      <x:c r="A3" s="14" t="str">
        <x:v>Профессиональный Спортсмен</x:v>
      </x:c>
      <x:c r="B3" s="14" t="str"/>
      <x:c r="C3" s="14" t="str">
        <x:v>спортсмен, для которого занятия спортом являются основным видом деятельности направленной на систематическое получение дохода и который получает в соответствии с трудовым договором заработную плату и (или) иное денежное вознаграждение за подготовку к спортивным соревнованиям и участие в них.</x:v>
      </x:c>
      <x:c r="D3" s="14" t="str">
        <x:v>ADD</x:v>
      </x:c>
      <x:c r="E3" s="14" t="str"/>
      <x:c r="F3" s="14" t="str"/>
      <x:c r="G3" s="14" t="str"/>
      <x:c r="H3" s="14" t="str">
        <x:v>Новый термин из проекта руководителя; отсутствует среди исходных 69 терминов статьи.</x:v>
      </x:c>
    </x:row>
    <x:row r="4">
      <x:c r="A4" s="14" t="str">
        <x:v>Учебно-Тренировочное Мероприятие</x:v>
      </x:c>
      <x:c r="B4" s="14" t="str"/>
      <x:c r="C4" s="14" t="str">
        <x:v>педагогически организованный процесс направленный на достижение целей спортивной подготовки</x:v>
      </x:c>
      <x:c r="D4" s="14" t="str">
        <x:v>ADD</x:v>
      </x:c>
      <x:c r="E4" s="14" t="str"/>
      <x:c r="F4" s="14" t="str"/>
      <x:c r="G4" s="14" t="str"/>
      <x:c r="H4" s="14" t="str">
        <x:v>Новый термин из проекта руководителя; отсутствует среди исходных 69 терминов статьи.</x:v>
      </x:c>
    </x:row>
  </x:sheetData>
  <x:dataValidations count="3">
    <x:dataValidation type="list" sqref="D2:D4">
      <x:formula1>Справочники!$A$2:$A$9</x:formula1>
    </x:dataValidation>
    <x:dataValidation type="list" sqref="F2:F4">
      <x:formula1>Справочники!$B$2:$B$7</x:formula1>
    </x:dataValidation>
    <x:dataValidation type="list" sqref="G2:G4">
      <x:formula1>Справочники!$C$2:$C$14</x:formula1>
    </x:dataValidation>
  </x:dataValidations>
  <x:pageMargins left="0.7" right="0.7" top="0.75" bottom="0.75" header="0.3" footer="0.3"/>
  <x:tableParts count="1">
    <x:tablePart xmlns:r="http://schemas.openxmlformats.org/officeDocument/2006/relationships" r:id="R07a6d23b564a49b6"/>
  </x:tableParts>
</x:worksheet>
</file>

<file path=xl/worksheets/sheet4.xml><?xml version="1.0" encoding="utf-8"?>
<x:worksheet xmlns:x="http://schemas.openxmlformats.org/spreadsheetml/2006/main">
  <x:sheetFormatPr defaultRowHeight="15"/>
  <x:cols>
    <x:col min="1" max="1" width="22" hidden="0" customWidth="1"/>
    <x:col min="2" max="2" width="22" hidden="0" customWidth="1"/>
    <x:col min="3" max="3" width="22" hidden="0" customWidth="1"/>
  </x:cols>
  <x:sheetData>
    <x:row r="1">
      <x:c r="A1" s="28" t="str">
        <x:v>Статусы</x:v>
      </x:c>
      <x:c r="B1" s="28" t="str">
        <x:v>Связи</x:v>
      </x:c>
      <x:c r="C1" s="28" t="str">
        <x:v>Семантические типы</x:v>
      </x:c>
    </x:row>
    <x:row r="2">
      <x:c r="A2" t="str">
        <x:v>KEEP</x:v>
      </x:c>
      <x:c r="B2" t="str">
        <x:v>Is-A</x:v>
      </x:c>
      <x:c r="C2" t="str">
        <x:v>Domain</x:v>
      </x:c>
    </x:row>
    <x:row r="3">
      <x:c r="A3" t="str">
        <x:v>REDEFINE</x:v>
      </x:c>
      <x:c r="B3" t="str">
        <x:v>Part-Of</x:v>
      </x:c>
      <x:c r="C3" t="str">
        <x:v>Activity</x:v>
      </x:c>
    </x:row>
    <x:row r="4">
      <x:c r="A4" t="str">
        <x:v>RENAME</x:v>
      </x:c>
      <x:c r="B4" t="str">
        <x:v>Role</x:v>
      </x:c>
      <x:c r="C4" t="str">
        <x:v>Process</x:v>
      </x:c>
    </x:row>
    <x:row r="5">
      <x:c r="A5" t="str">
        <x:v>ADD</x:v>
      </x:c>
      <x:c r="B5" t="str">
        <x:v>Attribute</x:v>
      </x:c>
      <x:c r="C5" t="str">
        <x:v>Event</x:v>
      </x:c>
    </x:row>
    <x:row r="6">
      <x:c r="A6" t="str">
        <x:v>MOVE</x:v>
      </x:c>
      <x:c r="B6" t="str">
        <x:v>Related-To</x:v>
      </x:c>
      <x:c r="C6" t="str">
        <x:v>Person</x:v>
      </x:c>
    </x:row>
    <x:row r="7">
      <x:c r="A7" t="str">
        <x:v>REVIEW</x:v>
      </x:c>
      <x:c r="C7" t="str">
        <x:v>PersonRole</x:v>
      </x:c>
    </x:row>
    <x:row r="8">
      <x:c r="A8" t="str">
        <x:v>REMOVE</x:v>
      </x:c>
      <x:c r="C8" t="str">
        <x:v>Organization</x:v>
      </x:c>
    </x:row>
    <x:row r="9">
      <x:c r="A9" t="str">
        <x:v>EXTERNAL</x:v>
      </x:c>
      <x:c r="C9" t="str">
        <x:v>Collective</x:v>
      </x:c>
    </x:row>
    <x:row r="10">
      <x:c r="C10" t="str">
        <x:v>Document</x:v>
      </x:c>
    </x:row>
    <x:row r="11">
      <x:c r="C11" t="str">
        <x:v>Norm</x:v>
      </x:c>
    </x:row>
    <x:row r="12">
      <x:c r="C12" t="str">
        <x:v>Infrastructure</x:v>
      </x:c>
    </x:row>
    <x:row r="13">
      <x:c r="C13" t="str">
        <x:v>Service</x:v>
      </x:c>
    </x:row>
    <x:row r="14">
      <x:c r="C14" t="str">
        <x:v>Other</x:v>
      </x:c>
    </x:row>
  </x:sheetData>
  <x:pageMargins left="0.7" right="0.7" top="0.75" bottom="0.75" header="0.3" footer="0.3"/>
</x:worksheet>
</file>