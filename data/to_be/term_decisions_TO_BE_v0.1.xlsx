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79631cadbc412b" /></Relationships>
</file>

<file path=xl/workbook.xml><?xml version="1.0" encoding="utf-8"?>
<x:workbook xmlns:x="http://schemas.openxmlformats.org/spreadsheetml/2006/main">
  <x:sheets>
    <x:sheet xmlns:r="http://schemas.openxmlformats.org/officeDocument/2006/relationships" name="Сводка" sheetId="1" r:id="R0ce6aecaab18497f"/>
    <x:sheet xmlns:r="http://schemas.openxmlformats.org/officeDocument/2006/relationships" name="TO_BE_v0.1" sheetId="2" r:id="R90728641f9854866"/>
    <x:sheet xmlns:r="http://schemas.openxmlformats.org/officeDocument/2006/relationships" name="Доп_связи" sheetId="3" r:id="R330ed70c7a7343b1"/>
    <x:sheet xmlns:r="http://schemas.openxmlformats.org/officeDocument/2006/relationships" name="Легенда" sheetId="4" r:id="Rfe2d04e3224c4391"/>
    <x:sheet xmlns:r="http://schemas.openxmlformats.org/officeDocument/2006/relationships" name="Справочники" sheetId="5" r:id="R4d7d1f1d9dba4af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b/>
      <x:sz val="11"/>
      <x:color rgb="FFFFFFFF"/>
      <x:name val="Carlito"/>
    </x:font>
    <x:font>
      <x:b/>
      <x:sz val="11"/>
      <x:name val="Carlito"/>
    </x:font>
    <x:font>
      <x:b/>
      <x:sz val="16"/>
      <x:color rgb="FFFFFFFF"/>
      <x:name val="Carlito"/>
    </x:font>
  </x:fonts>
  <x:fills count="9">
    <x:fill>
      <x:patternFill patternType="none"/>
    </x:fill>
    <x:fill>
      <x:patternFill patternType="gray125"/>
    </x:fill>
    <x:fill>
      <x:patternFill patternType="solid">
        <x:fgColor rgb="FF17365D"/>
      </x:patternFill>
    </x:fill>
    <x:fill>
      <x:patternFill patternType="solid">
        <x:fgColor rgb="FF5B4B8A"/>
      </x:patternFill>
    </x:fill>
    <x:fill>
      <x:patternFill patternType="solid">
        <x:fgColor rgb="FFD9E1F2"/>
      </x:patternFill>
    </x:fill>
    <x:fill>
      <x:patternFill patternType="solid">
        <x:fgColor rgb="FF375623"/>
      </x:patternFill>
    </x:fill>
    <x:fill>
      <x:patternFill patternType="solid">
        <x:fgColor rgb="FFD9EAF7"/>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2" fillId="5" borderId="1" xfId="0" applyNumberFormat="1" applyFont="1" applyFill="1" applyBorder="1" applyAlignment="1">
      <x:alignment horizontal="center" wrapText="1"/>
    </x:xf>
    <x:xf numFmtId="0" fontId="2" fillId="5" borderId="0" xfId="0" applyNumberFormat="1" applyFont="1" applyFill="1" applyBorder="1" applyAlignment="1">
      <x:alignment horizontal="center" vertical="top" wrapText="1"/>
    </x:xf>
    <x:xf numFmtId="0" fontId="2" fillId="5" borderId="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cellXfs>
  <x:cellStyles count="1">
    <x:cellStyle name="Normal" xfId="0"/>
  </x:cellStyles>
  <x:dxfs count="14">
    <x:dxf>
      <x:font>
        <x:b/>
        <x:color rgb="FF555555"/>
      </x:font>
      <x:fill>
        <x:patternFill patternType="solid">
          <x:bgColor rgb="FFEDEDED"/>
        </x:patternFill>
      </x:fill>
    </x:dxf>
    <x:dxf>
      <x:font>
        <x:b/>
        <x:color rgb="FF2E6B3D"/>
      </x:font>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D9EAF7"/>
        </x:patternFill>
      </x:fill>
    </x:dxf>
    <x:dxf>
      <x:font>
        <x:b/>
      </x:font>
      <x:fill>
        <x:patternFill patternType="solid">
          <x:bgColor rgb="FFDDEBF7"/>
        </x:patternFill>
      </x:fill>
    </x:dxf>
    <x:dxf>
      <x:font>
        <x:color rgb="FF666666"/>
      </x:font>
      <x:fill>
        <x:patternFill patternType="solid">
          <x:bgColor rgb="FFE7E6E6"/>
        </x:patternFill>
      </x:fill>
    </x:dxf>
    <x:dxf>
      <x:font>
        <x:color rgb="FF9C0006"/>
      </x:font>
      <x:fill>
        <x:patternFill patternType="solid">
          <x:bgColor rgb="FFF4CCCC"/>
        </x:patternFill>
      </x:fill>
    </x:dxf>
    <x:dxf>
      <x:fill>
        <x:patternFill patternType="solid">
          <x:bgColor rgb="FFFCE4D6"/>
        </x:patternFill>
      </x:fill>
    </x:dxf>
    <x:dxf>
      <x:font>
        <x:b/>
        <x:color rgb="FF2F641C"/>
      </x:font>
      <x:fill>
        <x:patternFill patternType="solid">
          <x:bgColor rgb="FFE2F0D9"/>
        </x:patternFill>
      </x:fill>
    </x:dxf>
    <x:dxf>
      <x:font>
        <x:color rgb="FF777777"/>
      </x:font>
      <x:fill>
        <x:patternFill patternType="solid">
          <x:bgColor rgb="FFE7E6E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f68e58fa524ed7" /><Relationship Type="http://schemas.openxmlformats.org/officeDocument/2006/relationships/theme" Target="/xl/theme/theme1.xml" Id="Refa70520db994de9" /><Relationship Type="http://schemas.openxmlformats.org/officeDocument/2006/relationships/sharedStrings" Target="/xl/sharedStrings.xml" Id="Ra640b2279b7042ac" /><Relationship Type="http://schemas.openxmlformats.org/officeDocument/2006/relationships/worksheet" Target="/xl/worksheets/sheet1.xml" Id="R0ce6aecaab18497f" /><Relationship Type="http://schemas.openxmlformats.org/officeDocument/2006/relationships/worksheet" Target="/xl/worksheets/sheet2.xml" Id="R90728641f9854866" /><Relationship Type="http://schemas.openxmlformats.org/officeDocument/2006/relationships/worksheet" Target="/xl/worksheets/sheet3.xml" Id="R330ed70c7a7343b1" /><Relationship Type="http://schemas.openxmlformats.org/officeDocument/2006/relationships/worksheet" Target="/xl/worksheets/sheet4.xml" Id="Rfe2d04e3224c4391" /><Relationship Type="http://schemas.openxmlformats.org/officeDocument/2006/relationships/worksheet" Target="/xl/worksheets/sheet5.xml" Id="R4d7d1f1d9dba4af7" /></Relationships>
</file>

<file path=xl/tables/table1.xml><?xml version="1.0" encoding="utf-8"?>
<x:table xmlns:x="http://schemas.openxmlformats.org/spreadsheetml/2006/main" id="1" name="ToBeV01Table" displayName="ToBeV01Table" ref="A1:S83" headerRowCount="1" totalsRowCount="0" totalsRowShown="0">
  <x:tableColumns count="19">
    <x:tableColumn id="1" name="ID"/>
    <x:tableColumn id="2" name="Тип узла"/>
    <x:tableColumn id="3" name="Термин"/>
    <x:tableColumn id="4" name="Есть в проекте руководителя?"/>
    <x:tableColumn id="5" name="AS-IS L1"/>
    <x:tableColumn id="6" name="AS-IS L2"/>
    <x:tableColumn id="7" name="AS-IS родитель"/>
    <x:tableColumn id="8" name="AS-IS связь"/>
    <x:tableColumn id="9" name="AS-IS дефект / казус"/>
    <x:tableColumn id="10" name="Формулировка / предложение руководителя"/>
    <x:tableColumn id="11" name="TO-BE действие"/>
    <x:tableColumn id="12" name="Включать в граф?"/>
    <x:tableColumn id="13" name="TO-BE родитель"/>
    <x:tableColumn id="14" name="TO-BE связь"/>
    <x:tableColumn id="15" name="Семантический тип"/>
    <x:tableColumn id="16" name="Фасета / критерий"/>
    <x:tableColumn id="17" name="Основание решения"/>
    <x:tableColumn id="18" name="Уверенность"/>
    <x:tableColumn id="19" name="Комментарий"/>
  </x:tableColumns>
  <x:tableStyleInfo name="TableStyleMedium2" showFirstColumn="0" showLastColumn="0" showRowStripes="1" showColumnStripes="0"/>
</x:table>
</file>

<file path=xl/tables/table2.xml><?xml version="1.0" encoding="utf-8"?>
<x:table xmlns:x="http://schemas.openxmlformats.org/spreadsheetml/2006/main" id="2" name="ExtraEdgesTable" displayName="ExtraEdgesTable" ref="A1:G14" headerRowCount="1" totalsRowCount="0" totalsRowShown="0">
  <x:tableColumns count="7">
    <x:tableColumn id="1" name="Источник"/>
    <x:tableColumn id="2" name="Цель"/>
    <x:tableColumn id="3" name="Связь"/>
    <x:tableColumn id="4" name="Тип связи"/>
    <x:tableColumn id="5" name="Основание"/>
    <x:tableColumn id="6" name="Уверенность"/>
    <x:tableColumn id="7" name="Включат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56b4da4a934729" /></Relationships>
</file>

<file path=xl/worksheets/_rels/sheet3.xml.rels>&#65279;<?xml version="1.0" encoding="utf-8"?><Relationships xmlns="http://schemas.openxmlformats.org/package/2006/relationships"><Relationship Type="http://schemas.openxmlformats.org/officeDocument/2006/relationships/table" Target="/xl/tables/table2.xml" Id="Re255f2643b6b44c7" /></Relationships>
</file>

<file path=xl/worksheets/sheet1.xml><?xml version="1.0" encoding="utf-8"?>
<x:worksheet xmlns:x="http://schemas.openxmlformats.org/spreadsheetml/2006/main">
  <x:sheetFormatPr defaultRowHeight="15"/>
  <x:cols>
    <x:col min="1" max="1" width="40" hidden="0" customWidth="1"/>
    <x:col min="2" max="2" width="18" hidden="0" customWidth="1"/>
    <x:col min="3" max="3" width="4" hidden="0" customWidth="1"/>
    <x:col min="4" max="4" width="24" hidden="0" customWidth="1"/>
    <x:col min="5" max="5" width="24" hidden="0" customWidth="1"/>
    <x:col min="6" max="6" width="24" hidden="0" customWidth="1"/>
  </x:cols>
  <x:sheetData>
    <x:row r="1" ht="32" customHeight="1">
      <x:c r="A1" s="44" t="str">
        <x:v>TO-BE v0.1 — рабочая матрица терминосистемы 329-ФЗ</x:v>
      </x:c>
      <x:c r="B1" s="44"/>
      <x:c r="C1" s="44"/>
      <x:c r="D1" s="44"/>
      <x:c r="E1" s="44"/>
      <x:c r="F1" s="44"/>
    </x:row>
    <x:row r="3">
      <x:c r="A3" s="50" t="str">
        <x:v>Показатель</x:v>
      </x:c>
      <x:c r="B3" s="50" t="str">
        <x:v>Значение</x:v>
      </x:c>
      <x:c r="D3" s="56" t="str">
        <x:v>Принцип v0.1</x:v>
      </x:c>
      <x:c r="E3" s="56"/>
      <x:c r="F3" s="56"/>
    </x:row>
    <x:row r="4">
      <x:c r="A4" t="str">
        <x:v>Исходных терминов AS-IS</x:v>
      </x:c>
      <x:c r="B4" t="n">
        <x:v>69</x:v>
      </x:c>
      <x:c r="D4" s="14" t="str">
        <x:v>TO-BE не обязан содержать все 69 терминов. В ядро включаются базовые предметные понятия и необходимые родовые категории. Технические, административные, дисциплинарные и узкоспециализированные понятия пока помечены EXTERNAL — это означает «вне ядра графа», а не «удалить из закона».</x:v>
      </x:c>
      <x:c r="E4" s="14"/>
      <x:c r="F4" s="14"/>
    </x:row>
    <x:row r="5">
      <x:c r="A5" t="str">
        <x:v>Терминов из проекта руководителя (из исходных 69)</x:v>
      </x:c>
      <x:c r="B5" t="n">
        <x:v>38</x:v>
      </x:c>
      <x:c r="D5" s="14"/>
      <x:c r="E5" s="14"/>
      <x:c r="F5" s="14"/>
    </x:row>
    <x:row r="6">
      <x:c r="A6" t="str">
        <x:v>Новых терминов руководителя</x:v>
      </x:c>
      <x:c r="B6" t="n">
        <x:v>3</x:v>
      </x:c>
      <x:c r="D6" s="14"/>
      <x:c r="E6" s="14"/>
      <x:c r="F6" s="14"/>
    </x:row>
    <x:row r="7">
      <x:c r="A7" t="str">
        <x:v>MODEL-узлов</x:v>
      </x:c>
      <x:c r="B7" t="n">
        <x:v>10</x:v>
      </x:c>
      <x:c r="D7" s="14"/>
      <x:c r="E7" s="14"/>
      <x:c r="F7" s="14"/>
    </x:row>
    <x:row r="8">
      <x:c r="A8" t="str">
        <x:v>Всего строк в рабочей матрице</x:v>
      </x:c>
      <x:c r="B8" t="n">
        <x:f>COUNTA('TO_BE_v0.1'!C2:C83)</x:f>
        <x:v>82</x:v>
      </x:c>
    </x:row>
    <x:row r="9">
      <x:c r="A9" t="str">
        <x:v>Включено в ядро графа</x:v>
      </x:c>
      <x:c r="B9" t="n">
        <x:f>COUNTIF('TO_BE_v0.1'!L2:L83,"Да")</x:f>
        <x:v>55</x:v>
      </x:c>
      <x:c r="D9" s="62" t="str">
        <x:v>Важно</x:v>
      </x:c>
      <x:c r="E9" s="62"/>
      <x:c r="F9" s="62"/>
    </x:row>
    <x:row r="10">
      <x:c r="A10" t="str">
        <x:v>Исключено из ядра (EXTERNAL)</x:v>
      </x:c>
      <x:c r="B10" t="n">
        <x:f>COUNTIF('TO_BE_v0.1'!K2:K83,"EXTERNAL")</x:f>
        <x:v>27</x:v>
      </x:c>
      <x:c r="D10" s="14" t="str">
        <x:v>Строки MODEL — это наши структурные узлы для графа. Они намеренно отделены от терминов статьи и предложений руководителя. Все модельные решения можно менять, не теряя исходные AS-IS данные.</x:v>
      </x:c>
      <x:c r="E10" s="14"/>
      <x:c r="F10" s="14"/>
    </x:row>
    <x:row r="11">
      <x:c r="A11" t="str">
        <x:v>REDEFINE</x:v>
      </x:c>
      <x:c r="B11" t="n">
        <x:f>COUNTIF('TO_BE_v0.1'!K2:K83,"REDEFINE")</x:f>
        <x:v>24</x:v>
      </x:c>
      <x:c r="D11" s="14"/>
      <x:c r="E11" s="14"/>
      <x:c r="F11" s="14"/>
    </x:row>
    <x:row r="12">
      <x:c r="A12" t="str">
        <x:v>MOVE</x:v>
      </x:c>
      <x:c r="B12" t="n">
        <x:f>COUNTIF('TO_BE_v0.1'!K2:K83,"MOVE")</x:f>
        <x:v>12</x:v>
      </x:c>
      <x:c r="D12" s="14"/>
      <x:c r="E12" s="14"/>
      <x:c r="F12" s="14"/>
    </x:row>
    <x:row r="13">
      <x:c r="A13" t="str">
        <x:v>KEEP</x:v>
      </x:c>
      <x:c r="B13" t="n">
        <x:f>COUNTIF('TO_BE_v0.1'!K2:K83,"KEEP")</x:f>
        <x:v>6</x:v>
      </x:c>
      <x:c r="D13" s="14"/>
      <x:c r="E13" s="14"/>
      <x:c r="F13" s="14"/>
    </x:row>
  </x:sheetData>
  <x:mergeCells>
    <x:mergeCell ref="A1:F1"/>
    <x:mergeCell ref="D3:F3"/>
    <x:mergeCell ref="D4:F7"/>
    <x:mergeCell ref="D9:F9"/>
    <x:mergeCell ref="D10:F13"/>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32" hidden="0" customWidth="1"/>
    <x:col min="4" max="4" width="14" hidden="0" customWidth="1"/>
    <x:col min="5" max="5" width="18" hidden="0" customWidth="1"/>
    <x:col min="6" max="6" width="22" hidden="0" customWidth="1"/>
    <x:col min="7" max="7" width="28" hidden="0" customWidth="1"/>
    <x:col min="8" max="8" width="13" hidden="0" customWidth="1"/>
    <x:col min="9" max="9" width="42" hidden="0" customWidth="1"/>
    <x:col min="10" max="10" width="58" hidden="0" customWidth="1"/>
    <x:col min="11" max="11" width="15" hidden="0" customWidth="1"/>
    <x:col min="12" max="12" width="14" hidden="0" customWidth="1"/>
    <x:col min="13" max="13" width="34" hidden="0" customWidth="1"/>
    <x:col min="14" max="14" width="15" hidden="0" customWidth="1"/>
    <x:col min="15" max="15" width="18" hidden="0" customWidth="1"/>
    <x:col min="16" max="16" width="30" hidden="0" customWidth="1"/>
    <x:col min="17" max="17" width="45" hidden="0" customWidth="1"/>
    <x:col min="18" max="18" width="13" hidden="0" customWidth="1"/>
    <x:col min="19" max="19" width="48" hidden="0" customWidth="1"/>
  </x:cols>
  <x:sheetData>
    <x:row r="1" ht="38" customHeight="1">
      <x:c r="A1" s="6" t="str">
        <x:v>ID</x:v>
      </x:c>
      <x:c r="B1" s="6" t="str">
        <x:v>Тип узла</x:v>
      </x:c>
      <x:c r="C1" s="6" t="str">
        <x:v>Термин</x:v>
      </x:c>
      <x:c r="D1" s="6" t="str">
        <x:v>Есть в проекте руководителя?</x:v>
      </x:c>
      <x:c r="E1" s="6" t="str">
        <x:v>AS-IS L1</x:v>
      </x:c>
      <x:c r="F1" s="6" t="str">
        <x:v>AS-IS L2</x:v>
      </x:c>
      <x:c r="G1" s="6" t="str">
        <x:v>AS-IS родитель</x:v>
      </x:c>
      <x:c r="H1" s="6" t="str">
        <x:v>AS-IS связь</x:v>
      </x:c>
      <x:c r="I1" s="6" t="str">
        <x:v>AS-IS дефект / казус</x:v>
      </x:c>
      <x:c r="J1" s="6" t="str">
        <x:v>Формулировка / предложение руководителя</x:v>
      </x:c>
      <x:c r="K1" s="6" t="str">
        <x:v>TO-BE действие</x:v>
      </x:c>
      <x:c r="L1" s="6" t="str">
        <x:v>Включать в граф?</x:v>
      </x:c>
      <x:c r="M1" s="6" t="str">
        <x:v>TO-BE родитель</x:v>
      </x:c>
      <x:c r="N1" s="6" t="str">
        <x:v>TO-BE связь</x:v>
      </x:c>
      <x:c r="O1" s="6" t="str">
        <x:v>Семантический тип</x:v>
      </x:c>
      <x:c r="P1" s="6" t="str">
        <x:v>Фасета / критерий</x:v>
      </x:c>
      <x:c r="Q1" s="6" t="str">
        <x:v>Основание решения</x:v>
      </x:c>
      <x:c r="R1" s="6" t="str">
        <x:v>Уверенность</x:v>
      </x:c>
      <x:c r="S1" s="6" t="str">
        <x:v>Комментарий</x:v>
      </x:c>
    </x:row>
    <x:row r="2">
      <x:c r="A2" s="14" t="str">
        <x:v>M-01</x:v>
      </x:c>
      <x:c r="B2" s="14" t="str">
        <x:v>MODEL</x:v>
      </x:c>
      <x:c r="C2" s="14" t="str">
        <x:v>Физическая культура и спорт</x:v>
      </x:c>
      <x:c r="D2" s="14" t="str">
        <x:v>Нет</x:v>
      </x:c>
      <x:c r="E2" s="14" t="str"/>
      <x:c r="F2" s="14" t="str"/>
      <x:c r="G2" s="14" t="str"/>
      <x:c r="H2" s="14" t="str"/>
      <x:c r="I2" s="14" t="str"/>
      <x:c r="J2" s="14" t="str"/>
      <x:c r="K2" s="14" t="str">
        <x:v>ADD</x:v>
      </x:c>
      <x:c r="L2" s="14" t="str">
        <x:f>IF(OR(K2="EXTERNAL",K2="REMOVE",K2="REVIEW"),"Нет","Да")</x:f>
        <x:v>Да</x:v>
      </x:c>
      <x:c r="M2" s="14" t="str"/>
      <x:c r="N2" s="14" t="str">
        <x:v>Root</x:v>
      </x:c>
      <x:c r="O2" s="14" t="str">
        <x:v>Domain</x:v>
      </x:c>
      <x:c r="P2" s="14" t="str"/>
      <x:c r="Q2" s="14" t="str">
        <x:v>MODEL: технический корень TO-BE-графа</x:v>
      </x:c>
      <x:c r="R2" s="14" t="str">
        <x:v>Высокая</x:v>
      </x:c>
      <x:c r="S2" s="14" t="str">
        <x:v>Структурный узел для объединения двух базовых областей и служебных групп; не термин статьи.</x:v>
      </x:c>
    </x:row>
    <x:row r="3">
      <x:c r="A3" s="14" t="str">
        <x:v>M-02</x:v>
      </x:c>
      <x:c r="B3" s="14" t="str">
        <x:v>MODEL</x:v>
      </x:c>
      <x:c r="C3" s="14" t="str">
        <x:v>Формы спорта</x:v>
      </x:c>
      <x:c r="D3" s="14" t="str">
        <x:v>Нет</x:v>
      </x:c>
      <x:c r="E3" s="14" t="str"/>
      <x:c r="F3" s="14" t="str"/>
      <x:c r="G3" s="14" t="str"/>
      <x:c r="H3" s="14" t="str"/>
      <x:c r="I3" s="14" t="str"/>
      <x:c r="J3" s="14" t="str"/>
      <x:c r="K3" s="14" t="str">
        <x:v>ADD</x:v>
      </x:c>
      <x:c r="L3" s="14" t="str">
        <x:f>IF(OR(K3="EXTERNAL",K3="REMOVE",K3="REVIEW"),"Нет","Да")</x:f>
        <x:v>Да</x:v>
      </x:c>
      <x:c r="M3" s="14" t="str">
        <x:v>Спорт</x:v>
      </x:c>
      <x:c r="N3" s="14" t="str">
        <x:v>Group</x:v>
      </x:c>
      <x:c r="O3" s="14" t="str">
        <x:v>ModelCategory</x:v>
      </x:c>
      <x:c r="P3" s="14" t="str">
        <x:v>Фасетная классификация</x:v>
      </x:c>
      <x:c r="Q3" s="14" t="str">
        <x:v>MODEL: структурная нормализация форм спорта</x:v>
      </x:c>
      <x:c r="R3" s="14" t="str">
        <x:v>Средняя</x:v>
      </x:c>
      <x:c r="S3" s="14" t="str">
        <x:v>Служебный родовой узел: позволяет не смешивать возрастной, экономический, институциональный и целевой критерии.</x:v>
      </x:c>
    </x:row>
    <x:row r="4">
      <x:c r="A4" s="14" t="str">
        <x:v>M-03</x:v>
      </x:c>
      <x:c r="B4" s="14" t="str">
        <x:v>MODEL</x:v>
      </x:c>
      <x:c r="C4" s="14" t="str">
        <x:v>Субъекты физической культуры и спорта</x:v>
      </x:c>
      <x:c r="D4" s="14" t="str">
        <x:v>Нет</x:v>
      </x:c>
      <x:c r="E4" s="14" t="str"/>
      <x:c r="F4" s="14" t="str"/>
      <x:c r="G4" s="14" t="str"/>
      <x:c r="H4" s="14" t="str"/>
      <x:c r="I4" s="14" t="str"/>
      <x:c r="J4" s="14" t="str"/>
      <x:c r="K4" s="14" t="str">
        <x:v>ADD</x:v>
      </x:c>
      <x:c r="L4" s="14" t="str">
        <x:f>IF(OR(K4="EXTERNAL",K4="REMOVE",K4="REVIEW"),"Нет","Да")</x:f>
        <x:v>Да</x:v>
      </x:c>
      <x:c r="M4" s="14" t="str">
        <x:v>Физическая культура и спорт</x:v>
      </x:c>
      <x:c r="N4" s="14" t="str">
        <x:v>Group</x:v>
      </x:c>
      <x:c r="O4" s="14" t="str">
        <x:v>ModelCategory</x:v>
      </x:c>
      <x:c r="P4" s="14" t="str"/>
      <x:c r="Q4" s="14" t="str">
        <x:v>MODEL: устранение таксономических разрывов</x:v>
      </x:c>
      <x:c r="R4" s="14" t="str">
        <x:v>Высокая</x:v>
      </x:c>
      <x:c r="S4" s="14" t="str">
        <x:v>Структурная категория для лиц, организаций и коллективов.</x:v>
      </x:c>
    </x:row>
    <x:row r="5">
      <x:c r="A5" s="14" t="str">
        <x:v>M-04</x:v>
      </x:c>
      <x:c r="B5" s="14" t="str">
        <x:v>MODEL</x:v>
      </x:c>
      <x:c r="C5" s="14" t="str">
        <x:v>Индивидуальные субъекты</x:v>
      </x:c>
      <x:c r="D5" s="14" t="str">
        <x:v>Нет</x:v>
      </x:c>
      <x:c r="E5" s="14" t="str"/>
      <x:c r="F5" s="14" t="str"/>
      <x:c r="G5" s="14" t="str"/>
      <x:c r="H5" s="14" t="str"/>
      <x:c r="I5" s="14" t="str"/>
      <x:c r="J5" s="14" t="str"/>
      <x:c r="K5" s="14" t="str">
        <x:v>ADD</x:v>
      </x:c>
      <x:c r="L5" s="14" t="str">
        <x:f>IF(OR(K5="EXTERNAL",K5="REMOVE",K5="REVIEW"),"Нет","Да")</x:f>
        <x:v>Да</x:v>
      </x:c>
      <x:c r="M5" s="14" t="str">
        <x:v>Субъекты физической культуры и спорта</x:v>
      </x:c>
      <x:c r="N5" s="14" t="str">
        <x:v>Group</x:v>
      </x:c>
      <x:c r="O5" s="14" t="str">
        <x:v>ModelCategory</x:v>
      </x:c>
      <x:c r="P5" s="14" t="str">
        <x:v>Тип субъекта</x:v>
      </x:c>
      <x:c r="Q5" s="14" t="str">
        <x:v>MODEL: обобщение определений через «физическое лицо»</x:v>
      </x:c>
      <x:c r="R5" s="14" t="str">
        <x:v>Высокая</x:v>
      </x:c>
      <x:c r="S5" s="14" t="str">
        <x:v>Служебный узел вместо отсутствующего в статье промежуточного класса «физические лица».</x:v>
      </x:c>
    </x:row>
    <x:row r="6">
      <x:c r="A6" s="14" t="str">
        <x:v>M-05</x:v>
      </x:c>
      <x:c r="B6" s="14" t="str">
        <x:v>MODEL</x:v>
      </x:c>
      <x:c r="C6" s="14" t="str">
        <x:v>Организации</x:v>
      </x:c>
      <x:c r="D6" s="14" t="str">
        <x:v>Нет</x:v>
      </x:c>
      <x:c r="E6" s="14" t="str"/>
      <x:c r="F6" s="14" t="str"/>
      <x:c r="G6" s="14" t="str"/>
      <x:c r="H6" s="14" t="str"/>
      <x:c r="I6" s="14" t="str"/>
      <x:c r="J6" s="14" t="str"/>
      <x:c r="K6" s="14" t="str">
        <x:v>ADD</x:v>
      </x:c>
      <x:c r="L6" s="14" t="str">
        <x:f>IF(OR(K6="EXTERNAL",K6="REMOVE",K6="REVIEW"),"Нет","Да")</x:f>
        <x:v>Да</x:v>
      </x:c>
      <x:c r="M6" s="14" t="str">
        <x:v>Субъекты физической культуры и спорта</x:v>
      </x:c>
      <x:c r="N6" s="14" t="str">
        <x:v>Group</x:v>
      </x:c>
      <x:c r="O6" s="14" t="str">
        <x:v>ModelCategory</x:v>
      </x:c>
      <x:c r="P6" s="14" t="str">
        <x:v>Тип субъекта</x:v>
      </x:c>
      <x:c r="Q6" s="14" t="str">
        <x:v>MODEL: обобщение организационных терминов</x:v>
      </x:c>
      <x:c r="R6" s="14" t="str">
        <x:v>Высокая</x:v>
      </x:c>
      <x:c r="S6" s="14" t="str">
        <x:v>Структурная категория для юридических лиц и спортивных организаций.</x:v>
      </x:c>
    </x:row>
    <x:row r="7">
      <x:c r="A7" s="14" t="str">
        <x:v>M-06</x:v>
      </x:c>
      <x:c r="B7" s="14" t="str">
        <x:v>MODEL</x:v>
      </x:c>
      <x:c r="C7" s="14" t="str">
        <x:v>Коллективные субъекты</x:v>
      </x:c>
      <x:c r="D7" s="14" t="str">
        <x:v>Нет</x:v>
      </x:c>
      <x:c r="E7" s="14" t="str"/>
      <x:c r="F7" s="14" t="str"/>
      <x:c r="G7" s="14" t="str"/>
      <x:c r="H7" s="14" t="str"/>
      <x:c r="I7" s="14" t="str"/>
      <x:c r="J7" s="14" t="str"/>
      <x:c r="K7" s="14" t="str">
        <x:v>ADD</x:v>
      </x:c>
      <x:c r="L7" s="14" t="str">
        <x:f>IF(OR(K7="EXTERNAL",K7="REMOVE",K7="REVIEW"),"Нет","Да")</x:f>
        <x:v>Да</x:v>
      </x:c>
      <x:c r="M7" s="14" t="str">
        <x:v>Субъекты физической культуры и спорта</x:v>
      </x:c>
      <x:c r="N7" s="14" t="str">
        <x:v>Group</x:v>
      </x:c>
      <x:c r="O7" s="14" t="str">
        <x:v>ModelCategory</x:v>
      </x:c>
      <x:c r="P7" s="14" t="str">
        <x:v>Тип субъекта</x:v>
      </x:c>
      <x:c r="Q7" s="14" t="str">
        <x:v>MODEL: обобщение сборных и делегаций</x:v>
      </x:c>
      <x:c r="R7" s="14" t="str">
        <x:v>Высокая</x:v>
      </x:c>
      <x:c r="S7" s="14" t="str">
        <x:v>Структурная категория для сборных и делегаций.</x:v>
      </x:c>
    </x:row>
    <x:row r="8">
      <x:c r="A8" s="14" t="str">
        <x:v>M-07</x:v>
      </x:c>
      <x:c r="B8" s="14" t="str">
        <x:v>MODEL</x:v>
      </x:c>
      <x:c r="C8" s="14" t="str">
        <x:v>Деятельность и процессы</x:v>
      </x:c>
      <x:c r="D8" s="14" t="str">
        <x:v>Нет</x:v>
      </x:c>
      <x:c r="E8" s="14" t="str"/>
      <x:c r="F8" s="14" t="str"/>
      <x:c r="G8" s="14" t="str"/>
      <x:c r="H8" s="14" t="str"/>
      <x:c r="I8" s="14" t="str"/>
      <x:c r="J8" s="14" t="str"/>
      <x:c r="K8" s="14" t="str">
        <x:v>ADD</x:v>
      </x:c>
      <x:c r="L8" s="14" t="str">
        <x:f>IF(OR(K8="EXTERNAL",K8="REMOVE",K8="REVIEW"),"Нет","Да")</x:f>
        <x:v>Да</x:v>
      </x:c>
      <x:c r="M8" s="14" t="str">
        <x:v>Физическая культура и спорт</x:v>
      </x:c>
      <x:c r="N8" s="14" t="str">
        <x:v>Group</x:v>
      </x:c>
      <x:c r="O8" s="14" t="str">
        <x:v>ModelCategory</x:v>
      </x:c>
      <x:c r="P8" s="14" t="str"/>
      <x:c r="Q8" s="14" t="str">
        <x:v>MODEL: категориальная нормализация</x:v>
      </x:c>
      <x:c r="R8" s="14" t="str">
        <x:v>Высокая</x:v>
      </x:c>
      <x:c r="S8" s="14" t="str">
        <x:v>Отделяет процессы и деятельность от видов спорта и субъектов.</x:v>
      </x:c>
    </x:row>
    <x:row r="9">
      <x:c r="A9" s="14" t="str">
        <x:v>M-08</x:v>
      </x:c>
      <x:c r="B9" s="14" t="str">
        <x:v>MODEL</x:v>
      </x:c>
      <x:c r="C9" s="14" t="str">
        <x:v>Мероприятия</x:v>
      </x:c>
      <x:c r="D9" s="14" t="str">
        <x:v>Нет</x:v>
      </x:c>
      <x:c r="E9" s="14" t="str"/>
      <x:c r="F9" s="14" t="str"/>
      <x:c r="G9" s="14" t="str"/>
      <x:c r="H9" s="14" t="str"/>
      <x:c r="I9" s="14" t="str"/>
      <x:c r="J9" s="14" t="str"/>
      <x:c r="K9" s="14" t="str">
        <x:v>ADD</x:v>
      </x:c>
      <x:c r="L9" s="14" t="str">
        <x:f>IF(OR(K9="EXTERNAL",K9="REMOVE",K9="REVIEW"),"Нет","Да")</x:f>
        <x:v>Да</x:v>
      </x:c>
      <x:c r="M9" s="14" t="str">
        <x:v>Физическая культура и спорт</x:v>
      </x:c>
      <x:c r="N9" s="14" t="str">
        <x:v>Group</x:v>
      </x:c>
      <x:c r="O9" s="14" t="str">
        <x:v>ModelCategory</x:v>
      </x:c>
      <x:c r="P9" s="14" t="str"/>
      <x:c r="Q9" s="14" t="str">
        <x:v>MODEL: категориальная нормализация</x:v>
      </x:c>
      <x:c r="R9" s="14" t="str">
        <x:v>Высокая</x:v>
      </x:c>
      <x:c r="S9" s="14" t="str">
        <x:v>Общий структурный класс для физкультурных и спортивных мероприятий.</x:v>
      </x:c>
    </x:row>
    <x:row r="10">
      <x:c r="A10" s="14" t="str">
        <x:v>M-09</x:v>
      </x:c>
      <x:c r="B10" s="14" t="str">
        <x:v>MODEL</x:v>
      </x:c>
      <x:c r="C10" s="14" t="str">
        <x:v>Инфраструктура</x:v>
      </x:c>
      <x:c r="D10" s="14" t="str">
        <x:v>Нет</x:v>
      </x:c>
      <x:c r="E10" s="14" t="str"/>
      <x:c r="F10" s="14" t="str"/>
      <x:c r="G10" s="14" t="str"/>
      <x:c r="H10" s="14" t="str"/>
      <x:c r="I10" s="14" t="str"/>
      <x:c r="J10" s="14" t="str"/>
      <x:c r="K10" s="14" t="str">
        <x:v>ADD</x:v>
      </x:c>
      <x:c r="L10" s="14" t="str">
        <x:f>IF(OR(K10="EXTERNAL",K10="REMOVE",K10="REVIEW"),"Нет","Да")</x:f>
        <x:v>Да</x:v>
      </x:c>
      <x:c r="M10" s="14" t="str">
        <x:v>Физическая культура и спорт</x:v>
      </x:c>
      <x:c r="N10" s="14" t="str">
        <x:v>Group</x:v>
      </x:c>
      <x:c r="O10" s="14" t="str">
        <x:v>ModelCategory</x:v>
      </x:c>
      <x:c r="P10" s="14" t="str"/>
      <x:c r="Q10" s="14" t="str">
        <x:v>MODEL: категориальная нормализация</x:v>
      </x:c>
      <x:c r="R10" s="14" t="str">
        <x:v>Высокая</x:v>
      </x:c>
      <x:c r="S10" s="14" t="str">
        <x:v>Объединяет объекты, сооружения и места проведения.</x:v>
      </x:c>
    </x:row>
    <x:row r="11">
      <x:c r="A11" s="14" t="str">
        <x:v>M-10</x:v>
      </x:c>
      <x:c r="B11" s="14" t="str">
        <x:v>MODEL</x:v>
      </x:c>
      <x:c r="C11" s="14" t="str">
        <x:v>Нормы и документы</x:v>
      </x:c>
      <x:c r="D11" s="14" t="str">
        <x:v>Нет</x:v>
      </x:c>
      <x:c r="E11" s="14" t="str"/>
      <x:c r="F11" s="14" t="str"/>
      <x:c r="G11" s="14" t="str"/>
      <x:c r="H11" s="14" t="str"/>
      <x:c r="I11" s="14" t="str"/>
      <x:c r="J11" s="14" t="str"/>
      <x:c r="K11" s="14" t="str">
        <x:v>ADD</x:v>
      </x:c>
      <x:c r="L11" s="14" t="str">
        <x:f>IF(OR(K11="EXTERNAL",K11="REMOVE",K11="REVIEW"),"Нет","Да")</x:f>
        <x:v>Да</x:v>
      </x:c>
      <x:c r="M11" s="14" t="str">
        <x:v>Физическая культура и спорт</x:v>
      </x:c>
      <x:c r="N11" s="14" t="str">
        <x:v>Group</x:v>
      </x:c>
      <x:c r="O11" s="14" t="str">
        <x:v>ModelCategory</x:v>
      </x:c>
      <x:c r="P11" s="14" t="str"/>
      <x:c r="Q11" s="14" t="str">
        <x:v>MODEL: категориальная нормализация</x:v>
      </x:c>
      <x:c r="R11" s="14" t="str">
        <x:v>Высокая</x:v>
      </x:c>
      <x:c r="S11" s="14" t="str">
        <x:v>Отделяет нормативные документы от процессов, субъектов и инфраструктуры.</x:v>
      </x:c>
    </x:row>
    <x:row r="12">
      <x:c r="A12" s="14" t="str">
        <x:v>O-01</x:v>
      </x:c>
      <x:c r="B12" s="14" t="str">
        <x:v>ORIGINAL</x:v>
      </x:c>
      <x:c r="C12" s="14" t="str">
        <x:v>Вид программы</x:v>
      </x:c>
      <x:c r="D12" s="14" t="str">
        <x:v>Нет</x:v>
      </x:c>
      <x:c r="E12" s="14" t="str">
        <x:v>Спорт</x:v>
      </x:c>
      <x:c r="F12" s="14" t="str">
        <x:v>Сферы и виды спорта</x:v>
      </x:c>
      <x:c r="G12" s="14" t="str">
        <x:v>Спортивная дисциплина</x:v>
      </x:c>
      <x:c r="H12" s="14" t="str">
        <x:v>Part-Of</x:v>
      </x:c>
      <x:c r="I12" s="14" t="str">
        <x:v>Смешение соревновательного процесса и элемента дисциплины.</x:v>
      </x:c>
      <x:c r="J12" s="14" t="str"/>
      <x:c r="K12" s="14" t="str">
        <x:v>EXTERNAL</x:v>
      </x:c>
      <x:c r="L12" s="14" t="str">
        <x:f>IF(OR(K12="EXTERNAL",K12="REMOVE",K12="REVIEW"),"Нет","Да")</x:f>
        <x:v>Нет</x:v>
      </x:c>
      <x:c r="M12" s="14" t="str"/>
      <x:c r="N12" s="14" t="str"/>
      <x:c r="O12" s="14" t="str"/>
      <x:c r="P12" s="14" t="str">
        <x:v>Структура состязания</x:v>
      </x:c>
      <x:c r="Q12" s="14" t="str">
        <x:v>MODEL: решение о границе ядра v0.1; термин отсутствует в проекте руководителя</x:v>
      </x:c>
      <x:c r="R12" s="14" t="str">
        <x:v>Средняя</x:v>
      </x:c>
      <x:c r="S12" s="14" t="str">
        <x:v>Технический уровень классификации внутри дисциплины/правил; не включаем в ядро v0.1.</x:v>
      </x:c>
    </x:row>
    <x:row r="13">
      <x:c r="A13" s="14" t="str">
        <x:v>O-02</x:v>
      </x:c>
      <x:c r="B13" s="14" t="str">
        <x:v>ORIGINAL</x:v>
      </x:c>
      <x:c r="C13" s="14" t="str">
        <x:v>Антидопинговое обеспечение</x:v>
      </x:c>
      <x:c r="D13" s="14" t="str">
        <x:v>Нет</x:v>
      </x:c>
      <x:c r="E13" s="14" t="str">
        <x:v>Физическая культура</x:v>
      </x:c>
      <x:c r="F13" s="14" t="str">
        <x:v>Инфраструктура и Нормы</x:v>
      </x:c>
      <x:c r="G13" s="14" t="str">
        <x:v>Спорт</x:v>
      </x:c>
      <x:c r="H13" s="14" t="str">
        <x:v>Attribute</x:v>
      </x:c>
      <x:c r="I13" s="14" t="str">
        <x:v>Деятельностный процесс вынесен на базовый понятийный уровень без привязки к подготовке.</x:v>
      </x:c>
      <x:c r="J13" s="14" t="str"/>
      <x:c r="K13" s="14" t="str">
        <x:v>MOVE</x:v>
      </x:c>
      <x:c r="L13" s="14" t="str">
        <x:f>IF(OR(K13="EXTERNAL",K13="REMOVE",K13="REVIEW"),"Нет","Да")</x:f>
        <x:v>Да</x:v>
      </x:c>
      <x:c r="M13" s="14" t="str">
        <x:v>Деятельность и процессы</x:v>
      </x:c>
      <x:c r="N13" s="14" t="str">
        <x:v>Is-A</x:v>
      </x:c>
      <x:c r="O13" s="14" t="str">
        <x:v>Process</x:v>
      </x:c>
      <x:c r="P13" s="14" t="str">
        <x:v>Функциональное назначение</x:v>
      </x:c>
      <x:c r="Q13" s="14" t="str">
        <x:v>MODEL: термин отсутствует в проекте руководителя, но сохраняется как самостоятельный процесс</x:v>
      </x:c>
      <x:c r="R13" s="14" t="str">
        <x:v>Средняя</x:v>
      </x:c>
      <x:c r="S13" s="14" t="str">
        <x:v>Оставляем в ядре, но переносим из базового уровня в процессы.</x:v>
      </x:c>
    </x:row>
    <x:row r="14">
      <x:c r="A14" s="14" t="str">
        <x:v>O-03</x:v>
      </x:c>
      <x:c r="B14" s="14" t="str">
        <x:v>ORIGINAL</x:v>
      </x:c>
      <x:c r="C14" s="14" t="str">
        <x:v>Базовые виды спорта</x:v>
      </x:c>
      <x:c r="D14" s="14" t="str">
        <x:v>Нет</x:v>
      </x:c>
      <x:c r="E14" s="14" t="str">
        <x:v>Спорт</x:v>
      </x:c>
      <x:c r="F14" s="14" t="str">
        <x:v>Сферы и виды спорта</x:v>
      </x:c>
      <x:c r="G14" s="14" t="str">
        <x:v>Вид спорта</x:v>
      </x:c>
      <x:c r="H14" s="14" t="str">
        <x:v>Is-A</x:v>
      </x:c>
      <x:c r="I14" s="14" t="str">
        <x:v>Смешение критериев: олимпийский статус + исторические традиции субъектов РФ.</x:v>
      </x:c>
      <x:c r="J14" s="14" t="str"/>
      <x:c r="K14" s="14" t="str">
        <x:v>EXTERNAL</x:v>
      </x:c>
      <x:c r="L14" s="14" t="str">
        <x:f>IF(OR(K14="EXTERNAL",K14="REMOVE",K14="REVIEW"),"Нет","Да")</x:f>
        <x:v>Нет</x:v>
      </x:c>
      <x:c r="M14" s="14" t="str"/>
      <x:c r="N14" s="14" t="str"/>
      <x:c r="O14" s="14" t="str"/>
      <x:c r="P14" s="14" t="str">
        <x:v>Олимпийский статус / Традиции</x:v>
      </x:c>
      <x:c r="Q14" s="14" t="str">
        <x:v>MODEL: решение о границе ядра v0.1; термин отсутствует в проекте руководителя</x:v>
      </x:c>
      <x:c r="R14" s="14" t="str">
        <x:v>Средняя</x:v>
      </x:c>
      <x:c r="S14" s="14" t="str">
        <x:v>Статусно-административная классификация; выносим из ядра в специализированный блок.</x:v>
      </x:c>
    </x:row>
    <x:row r="15">
      <x:c r="A15" s="14" t="str">
        <x:v>O-04</x:v>
      </x:c>
      <x:c r="B15" s="14" t="str">
        <x:v>ORIGINAL</x:v>
      </x:c>
      <x:c r="C15" s="14" t="str">
        <x:v>Вид спорта</x:v>
      </x:c>
      <x:c r="D15" s="14" t="str">
        <x:v>Да</x:v>
      </x:c>
      <x:c r="E15" s="14" t="str">
        <x:v>Спорт</x:v>
      </x:c>
      <x:c r="F15" s="14" t="str">
        <x:v>Сферы и виды спорта</x:v>
      </x:c>
      <x:c r="G15" s="14" t="str">
        <x:v>Спорт</x:v>
      </x:c>
      <x:c r="H15" s="14" t="str">
        <x:v>Part-Of</x:v>
      </x:c>
      <x:c r="I15" s="14" t="str">
        <x:v>Круг в определении (определяется как часть спорта, а спорт — как совокупность видов спорта).</x:v>
      </x:c>
      <x:c r="J15" s="14" t="str">
        <x:v>часть спорта, которая признана в соответствии с требованиями настоящего Федерального закона обособленной сферой общественных отношений, имеющей соответствующие правила соревнований,</x:v>
      </x:c>
      <x:c r="K15" s="14" t="str">
        <x:v>REDEFINE</x:v>
      </x:c>
      <x:c r="L15" s="14" t="str">
        <x:f>IF(OR(K15="EXTERNAL",K15="REMOVE",K15="REVIEW"),"Нет","Да")</x:f>
        <x:v>Да</x:v>
      </x:c>
      <x:c r="M15" s="14" t="str">
        <x:v>Спорт</x:v>
      </x:c>
      <x:c r="N15" s="14" t="str">
        <x:v>Part-Of</x:v>
      </x:c>
      <x:c r="O15" s="14" t="str">
        <x:v>SportType</x:v>
      </x:c>
      <x:c r="P15" s="14" t="str">
        <x:v>Обособленная часть спорта</x:v>
      </x:c>
      <x:c r="Q15" s="14" t="str">
        <x:v>Проект руководителя + структурная нормализация</x:v>
      </x:c>
      <x:c r="R15" s="14" t="str">
        <x:v>Высокая</x:v>
      </x:c>
      <x:c r="S15" s="14" t="str">
        <x:v>Сохраняется как часть спорта; определение руководителя уточняет признаки.</x:v>
      </x:c>
    </x:row>
    <x:row r="16">
      <x:c r="A16" s="14" t="str">
        <x:v>O-05</x:v>
      </x:c>
      <x:c r="B16" s="14" t="str">
        <x:v>ORIGINAL</x:v>
      </x:c>
      <x:c r="C16" s="14" t="str">
        <x:v>Комплекс ГТО</x:v>
      </x:c>
      <x:c r="D16" s="14" t="str">
        <x:v>Нет</x:v>
      </x:c>
      <x:c r="E16" s="14" t="str">
        <x:v>Физическая культура</x:v>
      </x:c>
      <x:c r="F16" s="14" t="str">
        <x:v>Инфраструктура и Нормы</x:v>
      </x:c>
      <x:c r="G16" s="14" t="str">
        <x:v>Физическое воспитание</x:v>
      </x:c>
      <x:c r="H16" s="14" t="str">
        <x:v>Attribute</x:v>
      </x:c>
      <x:c r="I16" s="14" t="str">
        <x:v>Конкретный государственный институт внедрен в базовый понятийный закон.</x:v>
      </x:c>
      <x:c r="J16" s="14" t="str"/>
      <x:c r="K16" s="14" t="str">
        <x:v>EXTERNAL</x:v>
      </x:c>
      <x:c r="L16" s="14" t="str">
        <x:f>IF(OR(K16="EXTERNAL",K16="REMOVE",K16="REVIEW"),"Нет","Да")</x:f>
        <x:v>Нет</x:v>
      </x:c>
      <x:c r="M16" s="14" t="str"/>
      <x:c r="N16" s="14" t="str"/>
      <x:c r="O16" s="14" t="str"/>
      <x:c r="P16" s="14" t="str">
        <x:v>Государственная программа</x:v>
      </x:c>
      <x:c r="Q16" s="14" t="str">
        <x:v>MODEL: решение о границе ядра v0.1; термин отсутствует в проекте руководителя</x:v>
      </x:c>
      <x:c r="R16" s="14" t="str">
        <x:v>Средняя</x:v>
      </x:c>
      <x:c r="S16" s="14" t="str">
        <x:v>Конкретный государственный институт/комплекс; специализированный нормативный блок.</x:v>
      </x:c>
    </x:row>
    <x:row r="17">
      <x:c r="A17" s="14" t="str">
        <x:v>O-06</x:v>
      </x:c>
      <x:c r="B17" s="14" t="str">
        <x:v>ORIGINAL</x:v>
      </x:c>
      <x:c r="C17" s="14" t="str">
        <x:v>Военно-прикладные и служебно-прикладные виды спорта</x:v>
      </x:c>
      <x:c r="D17" s="14" t="str">
        <x:v>Да</x:v>
      </x:c>
      <x:c r="E17" s="14" t="str">
        <x:v>Спорт</x:v>
      </x:c>
      <x:c r="F17" s="14" t="str">
        <x:v>Сферы и виды спорта</x:v>
      </x:c>
      <x:c r="G17" s="14" t="str">
        <x:v>Вид спорта</x:v>
      </x:c>
      <x:c r="H17" s="14" t="str">
        <x:v>Is-A</x:v>
      </x:c>
      <x:c r="I17" s="14" t="str">
        <x:v>Деление не по специфике движений, а по субъектному составу (военнослужащие).</x:v>
      </x:c>
      <x:c r="J17" s="14" t="str">
        <x:v>виды спорта, основой которых являются специальные действия (в том числе приемы), связанные с выполнением военнослужащими и сотрудниками некоторых федеральных органов исполнительной власти (далее - лица, проходящие специальную службу) своих служебных обязанностей, подготовкой граждан допризывного и призывного возрастов к военной службе, и которые развиваются в рамках деятельности одного или нескольких федеральных органов исполнительной власти;</x:v>
      </x:c>
      <x:c r="K17" s="14" t="str">
        <x:v>KEEP</x:v>
      </x:c>
      <x:c r="L17" s="14" t="str">
        <x:f>IF(OR(K17="EXTERNAL",K17="REMOVE",K17="REVIEW"),"Нет","Да")</x:f>
        <x:v>Да</x:v>
      </x:c>
      <x:c r="M17" s="14" t="str">
        <x:v>Вид спорта</x:v>
      </x:c>
      <x:c r="N17" s="14" t="str">
        <x:v>Is-A</x:v>
      </x:c>
      <x:c r="O17" s="14" t="str">
        <x:v>SportType</x:v>
      </x:c>
      <x:c r="P17" s="14" t="str">
        <x:v>Служебно-функциональная направленность</x:v>
      </x:c>
      <x:c r="Q17" s="14" t="str">
        <x:v>Проект руководителя</x:v>
      </x:c>
      <x:c r="R17" s="14" t="str">
        <x:v>Высокая</x:v>
      </x:c>
      <x:c r="S17" s="14" t="str">
        <x:v>Остаётся подтипом вида спорта; критерий явно фиксируется.</x:v>
      </x:c>
    </x:row>
    <x:row r="18">
      <x:c r="A18" s="14" t="str">
        <x:v>O-07</x:v>
      </x:c>
      <x:c r="B18" s="14" t="str">
        <x:v>ORIGINAL</x:v>
      </x:c>
      <x:c r="C18" s="14" t="str">
        <x:v>Добровольцы (волонтеры)</x:v>
      </x:c>
      <x:c r="D18" s="14" t="str">
        <x:v>Нет</x:v>
      </x:c>
      <x:c r="E18" s="14" t="str">
        <x:v>Спорт</x:v>
      </x:c>
      <x:c r="F18" s="14" t="str">
        <x:v>Субъекты</x:v>
      </x:c>
      <x:c r="G18" s="14" t="str">
        <x:v>Физические лица</x:v>
      </x:c>
      <x:c r="H18" s="14" t="str">
        <x:v>Role</x:v>
      </x:c>
      <x:c r="I18" s="14" t="str">
        <x:v>Определение через гражданско-правовой договор, а не спортивную функцию.</x:v>
      </x:c>
      <x:c r="J18" s="14" t="str"/>
      <x:c r="K18" s="14" t="str">
        <x:v>EXTERNAL</x:v>
      </x:c>
      <x:c r="L18" s="14" t="str">
        <x:f>IF(OR(K18="EXTERNAL",K18="REMOVE",K18="REVIEW"),"Нет","Да")</x:f>
        <x:v>Нет</x:v>
      </x:c>
      <x:c r="M18" s="14" t="str"/>
      <x:c r="N18" s="14" t="str"/>
      <x:c r="O18" s="14" t="str"/>
      <x:c r="P18" s="14" t="str">
        <x:v>Правовая форма участия</x:v>
      </x:c>
      <x:c r="Q18" s="14" t="str">
        <x:v>MODEL: решение о границе ядра v0.1; термин отсутствует в проекте руководителя</x:v>
      </x:c>
      <x:c r="R18" s="14" t="str">
        <x:v>Средняя</x:v>
      </x:c>
      <x:c r="S18" s="14" t="str">
        <x:v>Специальная роль обеспечения мероприятий; не входит в выбранное ядро руководителя.</x:v>
      </x:c>
    </x:row>
    <x:row r="19">
      <x:c r="A19" s="14" t="str">
        <x:v>O-08</x:v>
      </x:c>
      <x:c r="B19" s="14" t="str">
        <x:v>ORIGINAL</x:v>
      </x:c>
      <x:c r="C19" s="14" t="str">
        <x:v>Детско-юношеский спорт</x:v>
      </x:c>
      <x:c r="D19" s="14" t="str">
        <x:v>Да</x:v>
      </x:c>
      <x:c r="E19" s="14" t="str">
        <x:v>Спорт</x:v>
      </x:c>
      <x:c r="F19" s="14" t="str">
        <x:v>Сферы и виды спорта</x:v>
      </x:c>
      <x:c r="G19" s="14" t="str">
        <x:v>Спорт</x:v>
      </x:c>
      <x:c r="H19" s="14" t="str">
        <x:v>Is-A</x:v>
      </x:c>
      <x:c r="I19" s="14" t="str">
        <x:v>Пересечение со школьным и массовым спортом по возрасту.</x:v>
      </x:c>
      <x:c r="J19" s="14" t="str">
        <x:v>форма организации общественных отношений направленная на физическое воспитание и спортивную подготовку граждан, не достигших возраста восемнадцати лет,</x:v>
      </x:c>
      <x:c r="K19" s="14" t="str">
        <x:v>REDEFINE</x:v>
      </x:c>
      <x:c r="L19" s="14" t="str">
        <x:f>IF(OR(K19="EXTERNAL",K19="REMOVE",K19="REVIEW"),"Нет","Да")</x:f>
        <x:v>Да</x:v>
      </x:c>
      <x:c r="M19" s="14" t="str">
        <x:v>Формы спорта</x:v>
      </x:c>
      <x:c r="N19" s="14" t="str">
        <x:v>Is-A</x:v>
      </x:c>
      <x:c r="O19" s="14" t="str">
        <x:v>SportForm</x:v>
      </x:c>
      <x:c r="P19" s="14" t="str">
        <x:v>Возраст: до 18 лет</x:v>
      </x:c>
      <x:c r="Q19" s="14" t="str">
        <x:v>Проект руководителя + MODEL: фасетная классификация</x:v>
      </x:c>
      <x:c r="R19" s="14" t="str">
        <x:v>Высокая</x:v>
      </x:c>
      <x:c r="S19" s="14" t="str">
        <x:v>Выделяется по возрастной фасете, а не как взаимоисключающий вид спорта.</x:v>
      </x:c>
    </x:row>
    <x:row r="20">
      <x:c r="A20" s="14" t="str">
        <x:v>O-09</x:v>
      </x:c>
      <x:c r="B20" s="14" t="str">
        <x:v>ORIGINAL</x:v>
      </x:c>
      <x:c r="C20" s="14" t="str">
        <x:v>Животные, участвующие в спортивных соревнованиях</x:v>
      </x:c>
      <x:c r="D20" s="14" t="str">
        <x:v>Нет</x:v>
      </x:c>
      <x:c r="E20" s="14" t="str">
        <x:v>Спорт</x:v>
      </x:c>
      <x:c r="F20" s="14" t="str">
        <x:v>Инфраструктура и Нормы</x:v>
      </x:c>
      <x:c r="G20" s="14" t="str">
        <x:v>Спортивное соревнование</x:v>
      </x:c>
      <x:c r="H20" s="14" t="str">
        <x:v>Attribute</x:v>
      </x:c>
      <x:c r="I20" s="14" t="str">
        <x:v>Категориальная ошибка: животное не субъект и не объект права в нормативном смысле.</x:v>
      </x:c>
      <x:c r="J20" s="14" t="str"/>
      <x:c r="K20" s="14" t="str">
        <x:v>EXTERNAL</x:v>
      </x:c>
      <x:c r="L20" s="14" t="str">
        <x:f>IF(OR(K20="EXTERNAL",K20="REMOVE",K20="REVIEW"),"Нет","Да")</x:f>
        <x:v>Нет</x:v>
      </x:c>
      <x:c r="M20" s="14" t="str"/>
      <x:c r="N20" s="14" t="str"/>
      <x:c r="O20" s="14" t="str"/>
      <x:c r="P20" s="14" t="str">
        <x:v>Правила вида спорта</x:v>
      </x:c>
      <x:c r="Q20" s="14" t="str">
        <x:v>MODEL: решение о границе ядра v0.1; термин отсутствует в проекте руководителя</x:v>
      </x:c>
      <x:c r="R20" s="14" t="str">
        <x:v>Средняя</x:v>
      </x:c>
      <x:c r="S20" s="14" t="str">
        <x:v>Специальный объект регулирования соревнований; вне ядра базовой терминосистемы.</x:v>
      </x:c>
    </x:row>
    <x:row r="21">
      <x:c r="A21" s="14" t="str">
        <x:v>O-10</x:v>
      </x:c>
      <x:c r="B21" s="14" t="str">
        <x:v>ORIGINAL</x:v>
      </x:c>
      <x:c r="C21" s="14" t="str">
        <x:v>Зрители</x:v>
      </x:c>
      <x:c r="D21" s="14" t="str">
        <x:v>Да</x:v>
      </x:c>
      <x:c r="E21" s="14" t="str">
        <x:v>Спорт</x:v>
      </x:c>
      <x:c r="F21" s="14" t="str">
        <x:v>Субъекты</x:v>
      </x:c>
      <x:c r="G21" s="14" t="str">
        <x:v>Физические лица</x:v>
      </x:c>
      <x:c r="H21" s="14" t="str">
        <x:v>Role</x:v>
      </x:c>
      <x:c r="I21" s="14" t="str">
        <x:v>Определение «от противного» (все, кто находится на объекте и не является участником).</x:v>
      </x:c>
      <x:c r="J21" s="14" t="str">
        <x:v>физические лица, находящиеся в месте проведения официального спортивного соревнования, не являющиеся его участниками и иным образом не задействованные в проведении такого соревнования, в том числе в обеспечении общественного порядка и общественной безопасности при проведении такого соревнования;</x:v>
      </x:c>
      <x:c r="K21" s="14" t="str">
        <x:v>REDEFINE</x:v>
      </x:c>
      <x:c r="L21" s="14" t="str">
        <x:f>IF(OR(K21="EXTERNAL",K21="REMOVE",K21="REVIEW"),"Нет","Да")</x:f>
        <x:v>Да</x:v>
      </x:c>
      <x:c r="M21" s="14" t="str">
        <x:v>Индивидуальные субъекты</x:v>
      </x:c>
      <x:c r="N21" s="14" t="str">
        <x:v>Role</x:v>
      </x:c>
      <x:c r="O21" s="14" t="str">
        <x:v>PersonRole</x:v>
      </x:c>
      <x:c r="P21" s="14" t="str">
        <x:v>Роль на мероприятии</x:v>
      </x:c>
      <x:c r="Q21" s="14" t="str">
        <x:v>Проект руководителя + MODEL: восстановление родового класса</x:v>
      </x:c>
      <x:c r="R21" s="14" t="str">
        <x:v>Высокая</x:v>
      </x:c>
      <x:c r="S21" s="14" t="str">
        <x:v>Определение через физическое лицо; включаем в индивидуальные субъекты.</x:v>
      </x:c>
    </x:row>
    <x:row r="22">
      <x:c r="A22" s="14" t="str">
        <x:v>O-11</x:v>
      </x:c>
      <x:c r="B22" s="14" t="str">
        <x:v>ORIGINAL</x:v>
      </x:c>
      <x:c r="C22" s="14" t="str">
        <x:v>Контролер-распорядитель</x:v>
      </x:c>
      <x:c r="D22" s="14" t="str">
        <x:v>Нет</x:v>
      </x:c>
      <x:c r="E22" s="14" t="str">
        <x:v>Спорт</x:v>
      </x:c>
      <x:c r="F22" s="14" t="str">
        <x:v>Субъекты</x:v>
      </x:c>
      <x:c r="G22" s="14" t="str">
        <x:v>Физические лица</x:v>
      </x:c>
      <x:c r="H22" s="14" t="str">
        <x:v>Role</x:v>
      </x:c>
      <x:c r="I22" s="14" t="str">
        <x:v>Определение через наличие документа, а не через трудовую функцию.</x:v>
      </x:c>
      <x:c r="J22" s="14" t="str"/>
      <x:c r="K22" s="14" t="str">
        <x:v>EXTERNAL</x:v>
      </x:c>
      <x:c r="L22" s="14" t="str">
        <x:f>IF(OR(K22="EXTERNAL",K22="REMOVE",K22="REVIEW"),"Нет","Да")</x:f>
        <x:v>Нет</x:v>
      </x:c>
      <x:c r="M22" s="14" t="str"/>
      <x:c r="N22" s="14" t="str"/>
      <x:c r="O22" s="14" t="str"/>
      <x:c r="P22" s="14" t="str">
        <x:v>Наличие удостоверения</x:v>
      </x:c>
      <x:c r="Q22" s="14" t="str">
        <x:v>MODEL: решение о границе ядра v0.1; термин отсутствует в проекте руководителя</x:v>
      </x:c>
      <x:c r="R22" s="14" t="str">
        <x:v>Средняя</x:v>
      </x:c>
      <x:c r="S22" s="14" t="str">
        <x:v>Специализированная роль безопасности мероприятия.</x:v>
      </x:c>
    </x:row>
    <x:row r="23">
      <x:c r="A23" s="14" t="str">
        <x:v>O-12</x:v>
      </x:c>
      <x:c r="B23" s="14" t="str">
        <x:v>ORIGINAL</x:v>
      </x:c>
      <x:c r="C23" s="14" t="str">
        <x:v>Корпоративный спорт</x:v>
      </x:c>
      <x:c r="D23" s="14" t="str">
        <x:v>Да</x:v>
      </x:c>
      <x:c r="E23" s="14" t="str">
        <x:v>Спорт</x:v>
      </x:c>
      <x:c r="F23" s="14" t="str">
        <x:v>Сферы и виды спорта</x:v>
      </x:c>
      <x:c r="G23" s="14" t="str">
        <x:v>Массовый спорт</x:v>
      </x:c>
      <x:c r="H23" s="14" t="str">
        <x:v>Is-A</x:v>
      </x:c>
      <x:c r="I23" s="14" t="str">
        <x:v>Пересечение: одновременно массовый и корпоративный спорт.</x:v>
      </x:c>
      <x:c r="J23" s="14" t="str">
        <x:v>форма организации общественных отношений при участии работодателя и направленная на физическое воспитание и спортивную подготовку работников корпорации и членов их семей.</x:v>
      </x:c>
      <x:c r="K23" s="14" t="str">
        <x:v>REDEFINE</x:v>
      </x:c>
      <x:c r="L23" s="14" t="str">
        <x:f>IF(OR(K23="EXTERNAL",K23="REMOVE",K23="REVIEW"),"Нет","Да")</x:f>
        <x:v>Да</x:v>
      </x:c>
      <x:c r="M23" s="14" t="str">
        <x:v>Формы спорта</x:v>
      </x:c>
      <x:c r="N23" s="14" t="str">
        <x:v>Is-A</x:v>
      </x:c>
      <x:c r="O23" s="14" t="str">
        <x:v>SportForm</x:v>
      </x:c>
      <x:c r="P23" s="14" t="str">
        <x:v>Институциональный контекст: работодатель</x:v>
      </x:c>
      <x:c r="Q23" s="14" t="str">
        <x:v>Проект руководителя + MODEL: фасетная классификация</x:v>
      </x:c>
      <x:c r="R23" s="14" t="str">
        <x:v>Высокая</x:v>
      </x:c>
      <x:c r="S23" s="14" t="str">
        <x:v>Не подчиняем массовому спорту в TO-BE; выделяем по институциональной фасете.</x:v>
      </x:c>
    </x:row>
    <x:row r="24">
      <x:c r="A24" s="14" t="str">
        <x:v>O-13</x:v>
      </x:c>
      <x:c r="B24" s="14" t="str">
        <x:v>ORIGINAL</x:v>
      </x:c>
      <x:c r="C24" s="14" t="str">
        <x:v>Любительский спорт</x:v>
      </x:c>
      <x:c r="D24" s="14" t="str">
        <x:v>Да</x:v>
      </x:c>
      <x:c r="E24" s="14" t="str">
        <x:v>Спорт</x:v>
      </x:c>
      <x:c r="F24" s="14" t="str">
        <x:v>Сферы и виды спорта</x:v>
      </x:c>
      <x:c r="G24" s="14" t="str">
        <x:v>Массовый спорт</x:v>
      </x:c>
      <x:c r="H24" s="14" t="str">
        <x:v>Is-A</x:v>
      </x:c>
      <x:c r="I24" s="14" t="str">
        <x:v>Определение через отрицание («не направлен на доход», «не связан со сборными»).</x:v>
      </x:c>
      <x:c r="J24" s="14" t="str">
        <x:v>форма организации общественных отношений направленная на физическое воспитание и спортивную подготовку лиц, не получающих систематического дохода от своего участия в соревнованиях и осуществления трудовых функций спортсмена.</x:v>
      </x:c>
      <x:c r="K24" s="14" t="str">
        <x:v>REDEFINE</x:v>
      </x:c>
      <x:c r="L24" s="14" t="str">
        <x:f>IF(OR(K24="EXTERNAL",K24="REMOVE",K24="REVIEW"),"Нет","Да")</x:f>
        <x:v>Да</x:v>
      </x:c>
      <x:c r="M24" s="14" t="str">
        <x:v>Формы спорта</x:v>
      </x:c>
      <x:c r="N24" s="14" t="str">
        <x:v>Is-A</x:v>
      </x:c>
      <x:c r="O24" s="14" t="str">
        <x:v>SportForm</x:v>
      </x:c>
      <x:c r="P24" s="14" t="str">
        <x:v>Экономический режим: непрофессиональный</x:v>
      </x:c>
      <x:c r="Q24" s="14" t="str">
        <x:v>Проект руководителя + MODEL: фасетная классификация</x:v>
      </x:c>
      <x:c r="R24" s="14" t="str">
        <x:v>Высокая</x:v>
      </x:c>
      <x:c r="S24" s="14" t="str">
        <x:v>Экономическая фасета вместо отрицательного иерархического определения.</x:v>
      </x:c>
    </x:row>
    <x:row r="25">
      <x:c r="A25" s="14" t="str">
        <x:v>O-14</x:v>
      </x:c>
      <x:c r="B25" s="14" t="str">
        <x:v>ORIGINAL</x:v>
      </x:c>
      <x:c r="C25" s="14" t="str">
        <x:v>Любительская спортивная лига</x:v>
      </x:c>
      <x:c r="D25" s="14" t="str">
        <x:v>Нет</x:v>
      </x:c>
      <x:c r="E25" s="14" t="str">
        <x:v>Спорт</x:v>
      </x:c>
      <x:c r="F25" s="14" t="str">
        <x:v>Субъекты</x:v>
      </x:c>
      <x:c r="G25" s="14" t="str">
        <x:v>Организации и объединения</x:v>
      </x:c>
      <x:c r="H25" s="14" t="str">
        <x:v>Is-A</x:v>
      </x:c>
      <x:c r="I25" s="14" t="str">
        <x:v>Организационно-правовое понятие НКО внесено в понятийный аппарат спорта.</x:v>
      </x:c>
      <x:c r="J25" s="14" t="str"/>
      <x:c r="K25" s="14" t="str">
        <x:v>EXTERNAL</x:v>
      </x:c>
      <x:c r="L25" s="14" t="str">
        <x:f>IF(OR(K25="EXTERNAL",K25="REMOVE",K25="REVIEW"),"Нет","Да")</x:f>
        <x:v>Нет</x:v>
      </x:c>
      <x:c r="M25" s="14" t="str"/>
      <x:c r="N25" s="14" t="str"/>
      <x:c r="O25" s="14" t="str"/>
      <x:c r="P25" s="14" t="str">
        <x:v>Статус НКО / Цель</x:v>
      </x:c>
      <x:c r="Q25" s="14" t="str">
        <x:v>MODEL: решение о границе ядра v0.1; термин отсутствует в проекте руководителя</x:v>
      </x:c>
      <x:c r="R25" s="14" t="str">
        <x:v>Средняя</x:v>
      </x:c>
      <x:c r="S25" s="14" t="str">
        <x:v>Специальная организационно-правовая форма; выносим в организационный специализированный блок.</x:v>
      </x:c>
    </x:row>
    <x:row r="26">
      <x:c r="A26" s="14" t="str">
        <x:v>O-15</x:v>
      </x:c>
      <x:c r="B26" s="14" t="str">
        <x:v>ORIGINAL</x:v>
      </x:c>
      <x:c r="C26" s="14" t="str">
        <x:v>Массовый спорт</x:v>
      </x:c>
      <x:c r="D26" s="14" t="str">
        <x:v>Да</x:v>
      </x:c>
      <x:c r="E26" s="14" t="str">
        <x:v>Спорт</x:v>
      </x:c>
      <x:c r="F26" s="14" t="str">
        <x:v>Сферы и виды спорта</x:v>
      </x:c>
      <x:c r="G26" s="14" t="str">
        <x:v>Спорт</x:v>
      </x:c>
      <x:c r="H26" s="14" t="str">
        <x:v>Is-A</x:v>
      </x:c>
      <x:c r="I26" s="14" t="str">
        <x:v>Смешивается с физической культурой; тавтология в определении.</x:v>
      </x:c>
      <x:c r="J26" s="14" t="str">
        <x:v>форма организации общественных отношений направленная на физическое воспитание и массовое вовлечение граждан различных возрастов в спортивную подготовку.</x:v>
      </x:c>
      <x:c r="K26" s="14" t="str">
        <x:v>REDEFINE</x:v>
      </x:c>
      <x:c r="L26" s="14" t="str">
        <x:f>IF(OR(K26="EXTERNAL",K26="REMOVE",K26="REVIEW"),"Нет","Да")</x:f>
        <x:v>Да</x:v>
      </x:c>
      <x:c r="M26" s="14" t="str">
        <x:v>Формы спорта</x:v>
      </x:c>
      <x:c r="N26" s="14" t="str">
        <x:v>Is-A</x:v>
      </x:c>
      <x:c r="O26" s="14" t="str">
        <x:v>SportForm</x:v>
      </x:c>
      <x:c r="P26" s="14" t="str">
        <x:v>Масштаб и характер вовлечения</x:v>
      </x:c>
      <x:c r="Q26" s="14" t="str">
        <x:v>Проект руководителя + MODEL: фасетная классификация</x:v>
      </x:c>
      <x:c r="R26" s="14" t="str">
        <x:v>Высокая</x:v>
      </x:c>
      <x:c r="S26" s="14" t="str">
        <x:v>Выделяется по масштабу/характеру участия.</x:v>
      </x:c>
    </x:row>
    <x:row r="27">
      <x:c r="A27" s="14" t="str">
        <x:v>O-16</x:v>
      </x:c>
      <x:c r="B27" s="14" t="str">
        <x:v>ORIGINAL</x:v>
      </x:c>
      <x:c r="C27" s="14" t="str">
        <x:v>Место проведения официального спортивного соревнования</x:v>
      </x:c>
      <x:c r="D27" s="14" t="str">
        <x:v>Да</x:v>
      </x:c>
      <x:c r="E27" s="14" t="str">
        <x:v>Спорт</x:v>
      </x:c>
      <x:c r="F27" s="14" t="str">
        <x:v>Инфраструктура и Нормы</x:v>
      </x:c>
      <x:c r="G27" s="14" t="str">
        <x:v>Объект спорта</x:v>
      </x:c>
      <x:c r="H27" s="14" t="str">
        <x:v>Is-A</x:v>
      </x:c>
      <x:c r="I27" s="14" t="str">
        <x:v>Размывание понятия: объект недвижимости смешивается с воздушным пространством.</x:v>
      </x:c>
      <x:c r="J27" s="14" t="str">
        <x:v>объект спорта, а также территории, специально подготовленные для проведения официального спортивного соревнования, включая природные, природно-антропогенные и антропогенные объекты, воздушное пространство над ними;</x:v>
      </x:c>
      <x:c r="K27" s="14" t="str">
        <x:v>MOVE</x:v>
      </x:c>
      <x:c r="L27" s="14" t="str">
        <x:f>IF(OR(K27="EXTERNAL",K27="REMOVE",K27="REVIEW"),"Нет","Да")</x:f>
        <x:v>Да</x:v>
      </x:c>
      <x:c r="M27" s="14" t="str">
        <x:v>Инфраструктура</x:v>
      </x:c>
      <x:c r="N27" s="14" t="str">
        <x:v>Is-A</x:v>
      </x:c>
      <x:c r="O27" s="14" t="str">
        <x:v>Location</x:v>
      </x:c>
      <x:c r="P27" s="14" t="str">
        <x:v>Пространственная функция</x:v>
      </x:c>
      <x:c r="Q27" s="14" t="str">
        <x:v>Проект руководителя + MODEL: категориальная нормализация</x:v>
      </x:c>
      <x:c r="R27" s="14" t="str">
        <x:v>Высокая</x:v>
      </x:c>
      <x:c r="S27" s="14" t="str">
        <x:v>Это пространственно-инфраструктурное понятие, а не разновидность объекта спорта в строгом таксономическом смысле.</x:v>
      </x:c>
    </x:row>
    <x:row r="28">
      <x:c r="A28" s="14" t="str">
        <x:v>O-17</x:v>
      </x:c>
      <x:c r="B28" s="14" t="str">
        <x:v>ORIGINAL</x:v>
      </x:c>
      <x:c r="C28" s="14" t="str">
        <x:v>Национальные виды спорта</x:v>
      </x:c>
      <x:c r="D28" s="14" t="str">
        <x:v>Да</x:v>
      </x:c>
      <x:c r="E28" s="14" t="str">
        <x:v>Спорт</x:v>
      </x:c>
      <x:c r="F28" s="14" t="str">
        <x:v>Сферы и виды спорта</x:v>
      </x:c>
      <x:c r="G28" s="14" t="str">
        <x:v>Вид спорта</x:v>
      </x:c>
      <x:c r="H28" s="14" t="str">
        <x:v>Is-A</x:v>
      </x:c>
      <x:c r="I28" s="14" t="str">
        <x:v>Деление по этнокультурному признаку.</x:v>
      </x:c>
      <x:c r="J28" s="14" t="str">
        <x:v>форма организации общественных отношений, исторически сложившиеся на территории Российской Федерации в этнических группах населения и направленная на сохранение культурных традиций, физическое воспитание, спортивную подготовку граждан и признанная в соответствии с требованиями настоящего Федерального закона видом спорта, имеющем соответствующие правила соревнований,</x:v>
      </x:c>
      <x:c r="K28" s="14" t="str">
        <x:v>REDEFINE</x:v>
      </x:c>
      <x:c r="L28" s="14" t="str">
        <x:f>IF(OR(K28="EXTERNAL",K28="REMOVE",K28="REVIEW"),"Нет","Да")</x:f>
        <x:v>Да</x:v>
      </x:c>
      <x:c r="M28" s="14" t="str">
        <x:v>Вид спорта</x:v>
      </x:c>
      <x:c r="N28" s="14" t="str">
        <x:v>Is-A</x:v>
      </x:c>
      <x:c r="O28" s="14" t="str">
        <x:v>SportType</x:v>
      </x:c>
      <x:c r="P28" s="14" t="str">
        <x:v>Этнокультурное происхождение</x:v>
      </x:c>
      <x:c r="Q28" s="14" t="str">
        <x:v>Проект руководителя</x:v>
      </x:c>
      <x:c r="R28" s="14" t="str">
        <x:v>Высокая</x:v>
      </x:c>
      <x:c r="S28" s="14" t="str">
        <x:v>Сохраняется подтипом вида спорта с явным критерием.</x:v>
      </x:c>
    </x:row>
    <x:row r="29">
      <x:c r="A29" s="14" t="str">
        <x:v>O-18</x:v>
      </x:c>
      <x:c r="B29" s="14" t="str">
        <x:v>ORIGINAL</x:v>
      </x:c>
      <x:c r="C29" s="14" t="str">
        <x:v>Общероссийская спортивная федерация</x:v>
      </x:c>
      <x:c r="D29" s="14" t="str">
        <x:v>Да</x:v>
      </x:c>
      <x:c r="E29" s="14" t="str">
        <x:v>Спорт</x:v>
      </x:c>
      <x:c r="F29" s="14" t="str">
        <x:v>Субъекты</x:v>
      </x:c>
      <x:c r="G29" s="14" t="str">
        <x:v>Спортивная федерация</x:v>
      </x:c>
      <x:c r="H29" s="14" t="str">
        <x:v>Is-A</x:v>
      </x:c>
      <x:c r="I29" s="14" t="str">
        <x:v>Иерархический дубликат общего понятия «спортивная федерация».</x:v>
      </x:c>
      <x:c r="J29" s="14" t="str">
        <x:v>общероссийская общественная организация, которая создана на основе членства, получила государственную аккредитацию и целями которой являются развитие одного или нескольких видов спорта на территории Российской Федерации, их пропаганда, организация, проведение спортивных мероприятий и подготовка спортсменов - членов спортивных сборных команд Российской Федерации;</x:v>
      </x:c>
      <x:c r="K29" s="14" t="str">
        <x:v>KEEP</x:v>
      </x:c>
      <x:c r="L29" s="14" t="str">
        <x:f>IF(OR(K29="EXTERNAL",K29="REMOVE",K29="REVIEW"),"Нет","Да")</x:f>
        <x:v>Да</x:v>
      </x:c>
      <x:c r="M29" s="14" t="str">
        <x:v>Спортивная федерация</x:v>
      </x:c>
      <x:c r="N29" s="14" t="str">
        <x:v>Is-A</x:v>
      </x:c>
      <x:c r="O29" s="14" t="str">
        <x:v>Organization</x:v>
      </x:c>
      <x:c r="P29" s="14" t="str">
        <x:v>Уровень аккредитации: федеральный</x:v>
      </x:c>
      <x:c r="Q29" s="14" t="str">
        <x:v>Проект руководителя</x:v>
      </x:c>
      <x:c r="R29" s="14" t="str">
        <x:v>Высокая</x:v>
      </x:c>
      <x:c r="S29" s="14" t="str">
        <x:v>Сохраняется видовая связь со спортивной федерацией.</x:v>
      </x:c>
    </x:row>
    <x:row r="30">
      <x:c r="A30" s="14" t="str">
        <x:v>O-19</x:v>
      </x:c>
      <x:c r="B30" s="14" t="str">
        <x:v>ORIGINAL</x:v>
      </x:c>
      <x:c r="C30" s="14" t="str">
        <x:v>Региональная спортивная федерация</x:v>
      </x:c>
      <x:c r="D30" s="14" t="str">
        <x:v>Да</x:v>
      </x:c>
      <x:c r="E30" s="14" t="str">
        <x:v>Спорт</x:v>
      </x:c>
      <x:c r="F30" s="14" t="str">
        <x:v>Субъекты</x:v>
      </x:c>
      <x:c r="G30" s="14" t="str">
        <x:v>Спортивная федерация</x:v>
      </x:c>
      <x:c r="H30" s="14" t="str">
        <x:v>Is-A</x:v>
      </x:c>
      <x:c r="I30" s="14" t="str">
        <x:v>В подчинение общероссийской федерации ставится отдельное НКО.</x:v>
      </x:c>
      <x:c r="J30" s="14" t="str">
        <x:v>региональная общественная организация, являющаяся членом общероссийской спортивной федерации (далее - региональная общественная организация), или структурное подразделение (региональное отделение) общероссийской спортивной федерации, которые получили государственную аккредитацию и целями которых являются развитие одного или нескольких видов спорта на территории субъекта Российской Федерации, их пропаганда, организация, проведение спортивных мероприятий и подготовка спортсменов - членов спортивных сборных команд субъекта Российской Федерации;</x:v>
      </x:c>
      <x:c r="K30" s="14" t="str">
        <x:v>KEEP</x:v>
      </x:c>
      <x:c r="L30" s="14" t="str">
        <x:f>IF(OR(K30="EXTERNAL",K30="REMOVE",K30="REVIEW"),"Нет","Да")</x:f>
        <x:v>Да</x:v>
      </x:c>
      <x:c r="M30" s="14" t="str">
        <x:v>Спортивная федерация</x:v>
      </x:c>
      <x:c r="N30" s="14" t="str">
        <x:v>Is-A</x:v>
      </x:c>
      <x:c r="O30" s="14" t="str">
        <x:v>Organization</x:v>
      </x:c>
      <x:c r="P30" s="14" t="str">
        <x:v>Уровень аккредитации: региональный</x:v>
      </x:c>
      <x:c r="Q30" s="14" t="str">
        <x:v>Проект руководителя</x:v>
      </x:c>
      <x:c r="R30" s="14" t="str">
        <x:v>Высокая</x:v>
      </x:c>
      <x:c r="S30" s="14" t="str">
        <x:v>Сохраняется видовая связь со спортивной федерацией.</x:v>
      </x:c>
    </x:row>
    <x:row r="31">
      <x:c r="A31" s="14" t="str">
        <x:v>O-20</x:v>
      </x:c>
      <x:c r="B31" s="14" t="str">
        <x:v>ORIGINAL</x:v>
      </x:c>
      <x:c r="C31" s="14" t="str">
        <x:v>Физкультурно-спортивное общество</x:v>
      </x:c>
      <x:c r="D31" s="14" t="str">
        <x:v>Нет</x:v>
      </x:c>
      <x:c r="E31" s="14" t="str">
        <x:v>Спорт</x:v>
      </x:c>
      <x:c r="F31" s="14" t="str">
        <x:v>Субъекты</x:v>
      </x:c>
      <x:c r="G31" s="14" t="str">
        <x:v>Физкультурно-спортивная организация</x:v>
      </x:c>
      <x:c r="H31" s="14" t="str">
        <x:v>Is-A</x:v>
      </x:c>
      <x:c r="I31" s="14" t="str">
        <x:v>Определяется через отраслевую принадлежность участников.</x:v>
      </x:c>
      <x:c r="J31" s="14" t="str"/>
      <x:c r="K31" s="14" t="str">
        <x:v>EXTERNAL</x:v>
      </x:c>
      <x:c r="L31" s="14" t="str">
        <x:f>IF(OR(K31="EXTERNAL",K31="REMOVE",K31="REVIEW"),"Нет","Да")</x:f>
        <x:v>Нет</x:v>
      </x:c>
      <x:c r="M31" s="14" t="str"/>
      <x:c r="N31" s="14" t="str"/>
      <x:c r="O31" s="14" t="str"/>
      <x:c r="P31" s="14" t="str">
        <x:v>Отрасль / Профессия</x:v>
      </x:c>
      <x:c r="Q31" s="14" t="str">
        <x:v>MODEL: решение о границе ядра v0.1; термин отсутствует в проекте руководителя</x:v>
      </x:c>
      <x:c r="R31" s="14" t="str">
        <x:v>Средняя</x:v>
      </x:c>
      <x:c r="S31" s="14" t="str">
        <x:v>Специальная разновидность организации; в ядре достаточно общего организационного класса.</x:v>
      </x:c>
    </x:row>
    <x:row r="32">
      <x:c r="A32" s="14" t="str">
        <x:v>O-21</x:v>
      </x:c>
      <x:c r="B32" s="14" t="str">
        <x:v>ORIGINAL</x:v>
      </x:c>
      <x:c r="C32" s="14" t="str">
        <x:v>Объект спорта</x:v>
      </x:c>
      <x:c r="D32" s="14" t="str">
        <x:v>Да</x:v>
      </x:c>
      <x:c r="E32" s="14" t="str">
        <x:v>Физическая культура</x:v>
      </x:c>
      <x:c r="F32" s="14" t="str">
        <x:v>Инфраструктура и Нормы</x:v>
      </x:c>
      <x:c r="G32" s="14" t="str">
        <x:v>Физическая культура</x:v>
      </x:c>
      <x:c r="H32" s="14" t="str">
        <x:v>Root</x:v>
      </x:c>
      <x:c r="I32" s="14" t="str">
        <x:v>Понятие физической культуры сужается до гражданско-правовой категории недвижимости.</x:v>
      </x:c>
      <x:c r="J32" s="14" t="str">
        <x:v>объект недвижимого имущества или единый недвижимый комплекс, предназначенные для проведения физкультурных и спортивных мероприятий, в том числе спортивное сооружение, являющееся объектом недвижимого имущества;</x:v>
      </x:c>
      <x:c r="K32" s="14" t="str">
        <x:v>MOVE</x:v>
      </x:c>
      <x:c r="L32" s="14" t="str">
        <x:f>IF(OR(K32="EXTERNAL",K32="REMOVE",K32="REVIEW"),"Нет","Да")</x:f>
        <x:v>Да</x:v>
      </x:c>
      <x:c r="M32" s="14" t="str">
        <x:v>Инфраструктура</x:v>
      </x:c>
      <x:c r="N32" s="14" t="str">
        <x:v>Is-A</x:v>
      </x:c>
      <x:c r="O32" s="14" t="str">
        <x:v>Infrastructure</x:v>
      </x:c>
      <x:c r="P32" s="14" t="str">
        <x:v>Назначение объекта</x:v>
      </x:c>
      <x:c r="Q32" s="14" t="str">
        <x:v>Проект руководителя + MODEL: категориальная нормализация</x:v>
      </x:c>
      <x:c r="R32" s="14" t="str">
        <x:v>Высокая</x:v>
      </x:c>
      <x:c r="S32" s="14" t="str">
        <x:v>Переносится в инфраструктурный блок.</x:v>
      </x:c>
    </x:row>
    <x:row r="33">
      <x:c r="A33" s="14" t="str">
        <x:v>O-22</x:v>
      </x:c>
      <x:c r="B33" s="14" t="str">
        <x:v>ORIGINAL</x:v>
      </x:c>
      <x:c r="C33" s="14" t="str">
        <x:v>Олимпийская делегация РФ</x:v>
      </x:c>
      <x:c r="D33" s="14" t="str">
        <x:v>Нет</x:v>
      </x:c>
      <x:c r="E33" s="14" t="str">
        <x:v>Спорт</x:v>
      </x:c>
      <x:c r="F33" s="14" t="str">
        <x:v>Субъекты</x:v>
      </x:c>
      <x:c r="G33" s="14" t="str">
        <x:v>Коллективные субъекты</x:v>
      </x:c>
      <x:c r="H33" s="14" t="str">
        <x:v>Part-Of</x:v>
      </x:c>
      <x:c r="I33" s="14" t="str">
        <x:v>Составное понятие: объединяет спортсменов, чиновников и функционеров.</x:v>
      </x:c>
      <x:c r="J33" s="14" t="str"/>
      <x:c r="K33" s="14" t="str">
        <x:v>EXTERNAL</x:v>
      </x:c>
      <x:c r="L33" s="14" t="str">
        <x:f>IF(OR(K33="EXTERNAL",K33="REMOVE",K33="REVIEW"),"Нет","Да")</x:f>
        <x:v>Нет</x:v>
      </x:c>
      <x:c r="M33" s="14" t="str"/>
      <x:c r="N33" s="14" t="str"/>
      <x:c r="O33" s="14" t="str"/>
      <x:c r="P33" s="14" t="str">
        <x:v>Состав представителей</x:v>
      </x:c>
      <x:c r="Q33" s="14" t="str">
        <x:v>MODEL: решение о границе ядра v0.1; термин отсутствует в проекте руководителя</x:v>
      </x:c>
      <x:c r="R33" s="14" t="str">
        <x:v>Средняя</x:v>
      </x:c>
      <x:c r="S33" s="14" t="str">
        <x:v>Специальный термин олимпийского движения.</x:v>
      </x:c>
    </x:row>
    <x:row r="34">
      <x:c r="A34" s="14" t="str">
        <x:v>O-23</x:v>
      </x:c>
      <x:c r="B34" s="14" t="str">
        <x:v>ORIGINAL</x:v>
      </x:c>
      <x:c r="C34" s="14" t="str">
        <x:v>Олимпийская команда России</x:v>
      </x:c>
      <x:c r="D34" s="14" t="str">
        <x:v>Нет</x:v>
      </x:c>
      <x:c r="E34" s="14" t="str">
        <x:v>Спорт</x:v>
      </x:c>
      <x:c r="F34" s="14" t="str">
        <x:v>Субъекты</x:v>
      </x:c>
      <x:c r="G34" s="14" t="str">
        <x:v>Олимпийская делегация РФ</x:v>
      </x:c>
      <x:c r="H34" s="14" t="str">
        <x:v>Part-Of</x:v>
      </x:c>
      <x:c r="I34" s="14" t="str">
        <x:v>Подмножество олимпийской делегации.</x:v>
      </x:c>
      <x:c r="J34" s="14" t="str"/>
      <x:c r="K34" s="14" t="str">
        <x:v>EXTERNAL</x:v>
      </x:c>
      <x:c r="L34" s="14" t="str">
        <x:f>IF(OR(K34="EXTERNAL",K34="REMOVE",K34="REVIEW"),"Нет","Да")</x:f>
        <x:v>Нет</x:v>
      </x:c>
      <x:c r="M34" s="14" t="str"/>
      <x:c r="N34" s="14" t="str"/>
      <x:c r="O34" s="14" t="str"/>
      <x:c r="P34" s="14" t="str">
        <x:v>Состав соревнующихся</x:v>
      </x:c>
      <x:c r="Q34" s="14" t="str">
        <x:v>MODEL: решение о границе ядра v0.1; термин отсутствует в проекте руководителя</x:v>
      </x:c>
      <x:c r="R34" s="14" t="str">
        <x:v>Средняя</x:v>
      </x:c>
      <x:c r="S34" s="14" t="str">
        <x:v>Специальный термин олимпийского движения.</x:v>
      </x:c>
    </x:row>
    <x:row r="35">
      <x:c r="A35" s="14" t="str">
        <x:v>O-24</x:v>
      </x:c>
      <x:c r="B35" s="14" t="str">
        <x:v>ORIGINAL</x:v>
      </x:c>
      <x:c r="C35" s="14" t="str">
        <x:v>Оператор ИС идентификации болельщиков</x:v>
      </x:c>
      <x:c r="D35" s="14" t="str">
        <x:v>Нет</x:v>
      </x:c>
      <x:c r="E35" s="14" t="str">
        <x:v>Спорт</x:v>
      </x:c>
      <x:c r="F35" s="14" t="str">
        <x:v>Инфраструктура и Нормы</x:v>
      </x:c>
      <x:c r="G35" s="14" t="str">
        <x:v>Организации и объединения</x:v>
      </x:c>
      <x:c r="H35" s="14" t="str">
        <x:v>Role</x:v>
      </x:c>
      <x:c r="I35" s="14" t="str">
        <x:v>Учебно-технический узел управления внесен в понятийный закон.</x:v>
      </x:c>
      <x:c r="J35" s="14" t="str"/>
      <x:c r="K35" s="14" t="str">
        <x:v>EXTERNAL</x:v>
      </x:c>
      <x:c r="L35" s="14" t="str">
        <x:f>IF(OR(K35="EXTERNAL",K35="REMOVE",K35="REVIEW"),"Нет","Да")</x:f>
        <x:v>Нет</x:v>
      </x:c>
      <x:c r="M35" s="14" t="str"/>
      <x:c r="N35" s="14" t="str"/>
      <x:c r="O35" s="14" t="str"/>
      <x:c r="P35" s="14" t="str">
        <x:v>Функция ИТ-контроля</x:v>
      </x:c>
      <x:c r="Q35" s="14" t="str">
        <x:v>MODEL: решение о границе ядра v0.1; термин отсутствует в проекте руководителя</x:v>
      </x:c>
      <x:c r="R35" s="14" t="str">
        <x:v>Средняя</x:v>
      </x:c>
      <x:c r="S35" s="14" t="str">
        <x:v>ИТ/административная инфраструктура безопасности, а не базовый концепт ФКиС.</x:v>
      </x:c>
    </x:row>
    <x:row r="36">
      <x:c r="A36" s="14" t="str">
        <x:v>O-25</x:v>
      </x:c>
      <x:c r="B36" s="14" t="str">
        <x:v>ORIGINAL</x:v>
      </x:c>
      <x:c r="C36" s="14" t="str">
        <x:v>Организатор спортивного соревнования</x:v>
      </x:c>
      <x:c r="D36" s="14" t="str">
        <x:v>Да</x:v>
      </x:c>
      <x:c r="E36" s="14" t="str">
        <x:v>Спорт</x:v>
      </x:c>
      <x:c r="F36" s="14" t="str">
        <x:v>Субъекты</x:v>
      </x:c>
      <x:c r="G36" s="14" t="str">
        <x:v>Организации и объединения</x:v>
      </x:c>
      <x:c r="H36" s="14" t="str">
        <x:v>Role</x:v>
      </x:c>
      <x:c r="I36" s="14" t="str">
        <x:v>Исключает физических лиц (в отличие от организатора физкультурных мероприятий).</x:v>
      </x:c>
      <x:c r="J36" s="14" t="str">
        <x:v>юридическое лицо, по инициативе которого проводятся данные спортивные соревнования и (или) которое осуществляет организационное, финансовое и иное обеспечение подготовки и проведения данных соревнований;</x:v>
      </x:c>
      <x:c r="K36" s="14" t="str">
        <x:v>REDEFINE</x:v>
      </x:c>
      <x:c r="L36" s="14" t="str">
        <x:f>IF(OR(K36="EXTERNAL",K36="REMOVE",K36="REVIEW"),"Нет","Да")</x:f>
        <x:v>Да</x:v>
      </x:c>
      <x:c r="M36" s="14" t="str">
        <x:v>Организации</x:v>
      </x:c>
      <x:c r="N36" s="14" t="str">
        <x:v>Role</x:v>
      </x:c>
      <x:c r="O36" s="14" t="str">
        <x:v>OrganizationRole</x:v>
      </x:c>
      <x:c r="P36" s="14" t="str">
        <x:v>Функция организации соревнования</x:v>
      </x:c>
      <x:c r="Q36" s="14" t="str">
        <x:v>Проект руководителя + MODEL: восстановление родового класса</x:v>
      </x:c>
      <x:c r="R36" s="14" t="str">
        <x:v>Высокая</x:v>
      </x:c>
      <x:c r="S36" s="14" t="str">
        <x:v>По проекту это юридическое лицо; моделируем как организационную роль.</x:v>
      </x:c>
    </x:row>
    <x:row r="37">
      <x:c r="A37" s="14" t="str">
        <x:v>O-26</x:v>
      </x:c>
      <x:c r="B37" s="14" t="str">
        <x:v>ORIGINAL</x:v>
      </x:c>
      <x:c r="C37" s="14" t="str">
        <x:v>Организатор физкультурного мероприятия</x:v>
      </x:c>
      <x:c r="D37" s="14" t="str">
        <x:v>Да</x:v>
      </x:c>
      <x:c r="E37" s="14" t="str">
        <x:v>Физическая культура</x:v>
      </x:c>
      <x:c r="F37" s="14" t="str">
        <x:v>Субъекты</x:v>
      </x:c>
      <x:c r="G37" s="14" t="str">
        <x:v>Физические / Юр. лица</x:v>
      </x:c>
      <x:c r="H37" s="14" t="str">
        <x:v>Role</x:v>
      </x:c>
      <x:c r="I37" s="14" t="str">
        <x:v>Рассогласование с п. 7.3: физлицо может быть организатором физкультурного, но не спортивного события.</x:v>
      </x:c>
      <x:c r="J37" s="14" t="str">
        <x:v>юридическое или физическое лицо, по инициативе которого проводится данное физкультурное мероприятие и (или) которое осуществляет организационное, финансовое и иное обеспечение подготовки и проведения данного мероприятия;</x:v>
      </x:c>
      <x:c r="K37" s="14" t="str">
        <x:v>MOVE</x:v>
      </x:c>
      <x:c r="L37" s="14" t="str">
        <x:f>IF(OR(K37="EXTERNAL",K37="REMOVE",K37="REVIEW"),"Нет","Да")</x:f>
        <x:v>Да</x:v>
      </x:c>
      <x:c r="M37" s="14" t="str">
        <x:v>Субъекты физической культуры и спорта</x:v>
      </x:c>
      <x:c r="N37" s="14" t="str">
        <x:v>Role</x:v>
      </x:c>
      <x:c r="O37" s="14" t="str">
        <x:v>SubjectRole</x:v>
      </x:c>
      <x:c r="P37" s="14" t="str">
        <x:v>Функция организации мероприятия</x:v>
      </x:c>
      <x:c r="Q37" s="14" t="str">
        <x:v>Проект руководителя + MODEL: общий род для физ./юр. лиц</x:v>
      </x:c>
      <x:c r="R37" s="14" t="str">
        <x:v>Высокая</x:v>
      </x:c>
      <x:c r="S37" s="14" t="str">
        <x:v>Может быть физическим или юридическим лицом, поэтому родитель — общий класс субъектов.</x:v>
      </x:c>
    </x:row>
    <x:row r="38">
      <x:c r="A38" s="14" t="str">
        <x:v>O-27</x:v>
      </x:c>
      <x:c r="B38" s="14" t="str">
        <x:v>ORIGINAL</x:v>
      </x:c>
      <x:c r="C38" s="14" t="str">
        <x:v>Официальные физкультурные и спортивные мероприятия</x:v>
      </x:c>
      <x:c r="D38" s="14" t="str">
        <x:v>Да</x:v>
      </x:c>
      <x:c r="E38" s="14" t="str">
        <x:v>Спорт</x:v>
      </x:c>
      <x:c r="F38" s="14" t="str">
        <x:v>Мероприятия и события</x:v>
      </x:c>
      <x:c r="G38" s="14" t="str">
        <x:v>Спортивные мероприятия</x:v>
      </x:c>
      <x:c r="H38" s="14" t="str">
        <x:v>Is-A</x:v>
      </x:c>
      <x:c r="I38" s="14" t="str">
        <x:v>Статусное определение: зависит исключительно от формального факта внесения в план.</x:v>
      </x:c>
      <x:c r="J38" s="14" t="str">
        <x:v>физкультурные мероприятия и спортивные мероприятия, включенные в Единый календарный план межрегиональных, всероссийских и международных физкультурных мероприятий и спортивных мероприятий, календарные планы физкультурных мероприятий и спортивных мероприятий субъектов Российской Федерации, муниципальных образований;</x:v>
      </x:c>
      <x:c r="K38" s="14" t="str">
        <x:v>MOVE</x:v>
      </x:c>
      <x:c r="L38" s="14" t="str">
        <x:f>IF(OR(K38="EXTERNAL",K38="REMOVE",K38="REVIEW"),"Нет","Да")</x:f>
        <x:v>Да</x:v>
      </x:c>
      <x:c r="M38" s="14" t="str">
        <x:v>Мероприятия</x:v>
      </x:c>
      <x:c r="N38" s="14" t="str">
        <x:v>Is-A</x:v>
      </x:c>
      <x:c r="O38" s="14" t="str">
        <x:v>EventStatus</x:v>
      </x:c>
      <x:c r="P38" s="14" t="str">
        <x:v>Официальный статус</x:v>
      </x:c>
      <x:c r="Q38" s="14" t="str">
        <x:v>Проект руководителя + MODEL: категориальная нормализация</x:v>
      </x:c>
      <x:c r="R38" s="14" t="str">
        <x:v>Высокая</x:v>
      </x:c>
      <x:c r="S38" s="14" t="str">
        <x:v>Статусная разновидность мероприятий.</x:v>
      </x:c>
    </x:row>
    <x:row r="39">
      <x:c r="A39" s="14" t="str">
        <x:v>O-28</x:v>
      </x:c>
      <x:c r="B39" s="14" t="str">
        <x:v>ORIGINAL</x:v>
      </x:c>
      <x:c r="C39" s="14" t="str">
        <x:v>Паралимпийская делегация РФ</x:v>
      </x:c>
      <x:c r="D39" s="14" t="str">
        <x:v>Нет</x:v>
      </x:c>
      <x:c r="E39" s="14" t="str">
        <x:v>Спорт</x:v>
      </x:c>
      <x:c r="F39" s="14" t="str">
        <x:v>Субъекты</x:v>
      </x:c>
      <x:c r="G39" s="14" t="str">
        <x:v>Коллективные субъекты</x:v>
      </x:c>
      <x:c r="H39" s="14" t="str">
        <x:v>Part-Of</x:v>
      </x:c>
      <x:c r="I39" s="14" t="str">
        <x:v>Полный дубликат структуры п. 7.1 для паралимпийского движения.</x:v>
      </x:c>
      <x:c r="J39" s="14" t="str"/>
      <x:c r="K39" s="14" t="str">
        <x:v>EXTERNAL</x:v>
      </x:c>
      <x:c r="L39" s="14" t="str">
        <x:f>IF(OR(K39="EXTERNAL",K39="REMOVE",K39="REVIEW"),"Нет","Да")</x:f>
        <x:v>Нет</x:v>
      </x:c>
      <x:c r="M39" s="14" t="str"/>
      <x:c r="N39" s="14" t="str"/>
      <x:c r="O39" s="14" t="str"/>
      <x:c r="P39" s="14" t="str">
        <x:v>Состав представителей</x:v>
      </x:c>
      <x:c r="Q39" s="14" t="str">
        <x:v>MODEL: решение о границе ядра v0.1; термин отсутствует в проекте руководителя</x:v>
      </x:c>
      <x:c r="R39" s="14" t="str">
        <x:v>Средняя</x:v>
      </x:c>
      <x:c r="S39" s="14" t="str">
        <x:v>Специальный термин паралимпийского движения.</x:v>
      </x:c>
    </x:row>
    <x:row r="40">
      <x:c r="A40" s="14" t="str">
        <x:v>O-29</x:v>
      </x:c>
      <x:c r="B40" s="14" t="str">
        <x:v>ORIGINAL</x:v>
      </x:c>
      <x:c r="C40" s="14" t="str">
        <x:v>Паралимпийская команда России</x:v>
      </x:c>
      <x:c r="D40" s="14" t="str">
        <x:v>Нет</x:v>
      </x:c>
      <x:c r="E40" s="14" t="str">
        <x:v>Спорт</x:v>
      </x:c>
      <x:c r="F40" s="14" t="str">
        <x:v>Субъекты</x:v>
      </x:c>
      <x:c r="G40" s="14" t="str">
        <x:v>Паралимпийская делегация РФ</x:v>
      </x:c>
      <x:c r="H40" s="14" t="str">
        <x:v>Part-Of</x:v>
      </x:c>
      <x:c r="I40" s="14" t="str">
        <x:v>Полный дубликат структуры п. 7.2 для паралимпийского движения.</x:v>
      </x:c>
      <x:c r="J40" s="14" t="str"/>
      <x:c r="K40" s="14" t="str">
        <x:v>EXTERNAL</x:v>
      </x:c>
      <x:c r="L40" s="14" t="str">
        <x:f>IF(OR(K40="EXTERNAL",K40="REMOVE",K40="REVIEW"),"Нет","Да")</x:f>
        <x:v>Нет</x:v>
      </x:c>
      <x:c r="M40" s="14" t="str"/>
      <x:c r="N40" s="14" t="str"/>
      <x:c r="O40" s="14" t="str"/>
      <x:c r="P40" s="14" t="str">
        <x:v>Состав соревнующихся</x:v>
      </x:c>
      <x:c r="Q40" s="14" t="str">
        <x:v>MODEL: решение о границе ядра v0.1; термин отсутствует в проекте руководителя</x:v>
      </x:c>
      <x:c r="R40" s="14" t="str">
        <x:v>Средняя</x:v>
      </x:c>
      <x:c r="S40" s="14" t="str">
        <x:v>Специальный термин паралимпийского движения.</x:v>
      </x:c>
    </x:row>
    <x:row r="41">
      <x:c r="A41" s="14" t="str">
        <x:v>O-30</x:v>
      </x:c>
      <x:c r="B41" s="14" t="str">
        <x:v>ORIGINAL</x:v>
      </x:c>
      <x:c r="C41" s="14" t="str">
        <x:v>Персонифицированная карта (Fan ID)</x:v>
      </x:c>
      <x:c r="D41" s="14" t="str">
        <x:v>Нет</x:v>
      </x:c>
      <x:c r="E41" s="14" t="str">
        <x:v>Спорт</x:v>
      </x:c>
      <x:c r="F41" s="14" t="str">
        <x:v>Инфраструктура и Нормы</x:v>
      </x:c>
      <x:c r="G41" s="14" t="str">
        <x:v>Спортивное соревнование</x:v>
      </x:c>
      <x:c r="H41" s="14" t="str">
        <x:v>Attribute</x:v>
      </x:c>
      <x:c r="I41" s="14" t="str">
        <x:v>Административно-процессуальный инструмент безопасности внесен в общие понятия.</x:v>
      </x:c>
      <x:c r="J41" s="14" t="str"/>
      <x:c r="K41" s="14" t="str">
        <x:v>EXTERNAL</x:v>
      </x:c>
      <x:c r="L41" s="14" t="str">
        <x:f>IF(OR(K41="EXTERNAL",K41="REMOVE",K41="REVIEW"),"Нет","Да")</x:f>
        <x:v>Нет</x:v>
      </x:c>
      <x:c r="M41" s="14" t="str"/>
      <x:c r="N41" s="14" t="str"/>
      <x:c r="O41" s="14" t="str"/>
      <x:c r="P41" s="14" t="str">
        <x:v>Электронный документ</x:v>
      </x:c>
      <x:c r="Q41" s="14" t="str">
        <x:v>MODEL: решение о границе ядра v0.1; термин отсутствует в проекте руководителя</x:v>
      </x:c>
      <x:c r="R41" s="14" t="str">
        <x:v>Средняя</x:v>
      </x:c>
      <x:c r="S41" s="14" t="str">
        <x:v>Административно-технический документ идентификации.</x:v>
      </x:c>
    </x:row>
    <x:row r="42">
      <x:c r="A42" s="14" t="str">
        <x:v>O-31</x:v>
      </x:c>
      <x:c r="B42" s="14" t="str">
        <x:v>ORIGINAL</x:v>
      </x:c>
      <x:c r="C42" s="14" t="str">
        <x:v>Программа развития вида спорта</x:v>
      </x:c>
      <x:c r="D42" s="14" t="str">
        <x:v>Нет</x:v>
      </x:c>
      <x:c r="E42" s="14" t="str">
        <x:v>Спорт</x:v>
      </x:c>
      <x:c r="F42" s="14" t="str">
        <x:v>Инфраструктура и Нормы</x:v>
      </x:c>
      <x:c r="G42" s="14" t="str">
        <x:v>Спортивная федерация</x:v>
      </x:c>
      <x:c r="H42" s="14" t="str">
        <x:v>Attribute</x:v>
      </x:c>
      <x:c r="I42" s="14" t="str">
        <x:v>Документарный инструмент увязан с госаккредитацией.</x:v>
      </x:c>
      <x:c r="J42" s="14" t="str"/>
      <x:c r="K42" s="14" t="str">
        <x:v>EXTERNAL</x:v>
      </x:c>
      <x:c r="L42" s="14" t="str">
        <x:f>IF(OR(K42="EXTERNAL",K42="REMOVE",K42="REVIEW"),"Нет","Да")</x:f>
        <x:v>Нет</x:v>
      </x:c>
      <x:c r="M42" s="14" t="str"/>
      <x:c r="N42" s="14" t="str"/>
      <x:c r="O42" s="14" t="str"/>
      <x:c r="P42" s="14" t="str">
        <x:v>Целевое планирование</x:v>
      </x:c>
      <x:c r="Q42" s="14" t="str">
        <x:v>MODEL: решение о границе ядра v0.1; термин отсутствует в проекте руководителя</x:v>
      </x:c>
      <x:c r="R42" s="14" t="str">
        <x:v>Средняя</x:v>
      </x:c>
      <x:c r="S42" s="14" t="str">
        <x:v>Программно-нормативный инструмент управления; выносим в специализированный документарный блок.</x:v>
      </x:c>
    </x:row>
    <x:row r="43">
      <x:c r="A43" s="14" t="str">
        <x:v>O-32</x:v>
      </x:c>
      <x:c r="B43" s="14" t="str">
        <x:v>ORIGINAL</x:v>
      </x:c>
      <x:c r="C43" s="14" t="str">
        <x:v>Профессиональная спортивная лига</x:v>
      </x:c>
      <x:c r="D43" s="14" t="str">
        <x:v>Нет</x:v>
      </x:c>
      <x:c r="E43" s="14" t="str">
        <x:v>Спорт</x:v>
      </x:c>
      <x:c r="F43" s="14" t="str">
        <x:v>Субъекты</x:v>
      </x:c>
      <x:c r="G43" s="14" t="str">
        <x:v>Организации и объединения</x:v>
      </x:c>
      <x:c r="H43" s="14" t="str">
        <x:v>Is-A</x:v>
      </x:c>
      <x:c r="I43" s="14" t="str">
        <x:v>Определение через цель («проведение профессиональных соревнований»).</x:v>
      </x:c>
      <x:c r="J43" s="14" t="str"/>
      <x:c r="K43" s="14" t="str">
        <x:v>EXTERNAL</x:v>
      </x:c>
      <x:c r="L43" s="14" t="str">
        <x:f>IF(OR(K43="EXTERNAL",K43="REMOVE",K43="REVIEW"),"Нет","Да")</x:f>
        <x:v>Нет</x:v>
      </x:c>
      <x:c r="M43" s="14" t="str"/>
      <x:c r="N43" s="14" t="str"/>
      <x:c r="O43" s="14" t="str"/>
      <x:c r="P43" s="14" t="str">
        <x:v>Цель проведения соревнований</x:v>
      </x:c>
      <x:c r="Q43" s="14" t="str">
        <x:v>MODEL: решение о границе ядра v0.1; термин отсутствует в проекте руководителя</x:v>
      </x:c>
      <x:c r="R43" s="14" t="str">
        <x:v>Средняя</x:v>
      </x:c>
      <x:c r="S43" s="14" t="str">
        <x:v>Специализированная организационная форма профессионального спорта.</x:v>
      </x:c>
    </x:row>
    <x:row r="44">
      <x:c r="A44" s="14" t="str">
        <x:v>O-33</x:v>
      </x:c>
      <x:c r="B44" s="14" t="str">
        <x:v>ORIGINAL</x:v>
      </x:c>
      <x:c r="C44" s="14" t="str">
        <x:v>Профессиональные спортивные соревнования</x:v>
      </x:c>
      <x:c r="D44" s="14" t="str">
        <x:v>Нет</x:v>
      </x:c>
      <x:c r="E44" s="14" t="str">
        <x:v>Спорт</x:v>
      </x:c>
      <x:c r="F44" s="14" t="str">
        <x:v>Мероприятия и события</x:v>
      </x:c>
      <x:c r="G44" s="14" t="str">
        <x:v>Спортивное соревнование</x:v>
      </x:c>
      <x:c r="H44" s="14" t="str">
        <x:v>Is-A</x:v>
      </x:c>
      <x:c r="I44" s="14" t="str">
        <x:v>Замкнутый круг: соревнование признается профессиональным, если таковым его определил организатор.</x:v>
      </x:c>
      <x:c r="J44" s="14" t="str"/>
      <x:c r="K44" s="14" t="str">
        <x:v>EXTERNAL</x:v>
      </x:c>
      <x:c r="L44" s="14" t="str">
        <x:f>IF(OR(K44="EXTERNAL",K44="REMOVE",K44="REVIEW"),"Нет","Да")</x:f>
        <x:v>Нет</x:v>
      </x:c>
      <x:c r="M44" s="14" t="str"/>
      <x:c r="N44" s="14" t="str"/>
      <x:c r="O44" s="14" t="str"/>
      <x:c r="P44" s="14" t="str">
        <x:v>Доход / Трудовой договор</x:v>
      </x:c>
      <x:c r="Q44" s="14" t="str">
        <x:v>MODEL: решение о границе ядра v0.1; термин отсутствует в проекте руководителя</x:v>
      </x:c>
      <x:c r="R44" s="14" t="str">
        <x:v>Средняя</x:v>
      </x:c>
      <x:c r="S44" s="14" t="str">
        <x:v>Специализированная разновидность соревнований; в ядре v0.1 не нужна для определения профессионального спорта.</x:v>
      </x:c>
    </x:row>
    <x:row r="45">
      <x:c r="A45" s="14" t="str">
        <x:v>O-34</x:v>
      </x:c>
      <x:c r="B45" s="14" t="str">
        <x:v>ORIGINAL</x:v>
      </x:c>
      <x:c r="C45" s="14" t="str">
        <x:v>Профессиональный спортивный клуб</x:v>
      </x:c>
      <x:c r="D45" s="14" t="str">
        <x:v>Нет</x:v>
      </x:c>
      <x:c r="E45" s="14" t="str">
        <x:v>Спорт</x:v>
      </x:c>
      <x:c r="F45" s="14" t="str">
        <x:v>Субъекты</x:v>
      </x:c>
      <x:c r="G45" s="14" t="str">
        <x:v>Физкультурно-спортивная организация</x:v>
      </x:c>
      <x:c r="H45" s="14" t="str">
        <x:v>Is-A</x:v>
      </x:c>
      <x:c r="I45" s="14" t="str">
        <x:v>Определение через факт заявления к участию в соревновании.</x:v>
      </x:c>
      <x:c r="J45" s="14" t="str"/>
      <x:c r="K45" s="14" t="str">
        <x:v>EXTERNAL</x:v>
      </x:c>
      <x:c r="L45" s="14" t="str">
        <x:f>IF(OR(K45="EXTERNAL",K45="REMOVE",K45="REVIEW"),"Нет","Да")</x:f>
        <x:v>Нет</x:v>
      </x:c>
      <x:c r="M45" s="14" t="str"/>
      <x:c r="N45" s="14" t="str"/>
      <x:c r="O45" s="14" t="str"/>
      <x:c r="P45" s="14" t="str">
        <x:v>Факт участия в соревновании</x:v>
      </x:c>
      <x:c r="Q45" s="14" t="str">
        <x:v>MODEL: решение о границе ядра v0.1; термин отсутствует в проекте руководителя</x:v>
      </x:c>
      <x:c r="R45" s="14" t="str">
        <x:v>Средняя</x:v>
      </x:c>
      <x:c r="S45" s="14" t="str">
        <x:v>Специализированная организационная форма.</x:v>
      </x:c>
    </x:row>
    <x:row r="46">
      <x:c r="A46" s="14" t="str">
        <x:v>O-35</x:v>
      </x:c>
      <x:c r="B46" s="14" t="str">
        <x:v>ORIGINAL</x:v>
      </x:c>
      <x:c r="C46" s="14" t="str">
        <x:v>Профессиональный спорт</x:v>
      </x:c>
      <x:c r="D46" s="14" t="str">
        <x:v>Да</x:v>
      </x:c>
      <x:c r="E46" s="14" t="str">
        <x:v>Спорт</x:v>
      </x:c>
      <x:c r="F46" s="14" t="str">
        <x:v>Сферы и виды спорта</x:v>
      </x:c>
      <x:c r="G46" s="14" t="str">
        <x:v>Спорт</x:v>
      </x:c>
      <x:c r="H46" s="14" t="str">
        <x:v>Is-A</x:v>
      </x:c>
      <x:c r="I46" s="14" t="str">
        <x:v>Замкнутое определение: часть спорта, направленная на проведение профессиональных соревнований.</x:v>
      </x:c>
      <x:c r="J46" s="14" t="str">
        <x:v>форма организации общественных отношений, направленная на систематическое получение дохода их участниками от результатов осуществления трудовых функций спортсмена.</x:v>
      </x:c>
      <x:c r="K46" s="14" t="str">
        <x:v>REDEFINE</x:v>
      </x:c>
      <x:c r="L46" s="14" t="str">
        <x:f>IF(OR(K46="EXTERNAL",K46="REMOVE",K46="REVIEW"),"Нет","Да")</x:f>
        <x:v>Да</x:v>
      </x:c>
      <x:c r="M46" s="14" t="str">
        <x:v>Формы спорта</x:v>
      </x:c>
      <x:c r="N46" s="14" t="str">
        <x:v>Is-A</x:v>
      </x:c>
      <x:c r="O46" s="14" t="str">
        <x:v>SportForm</x:v>
      </x:c>
      <x:c r="P46" s="14" t="str">
        <x:v>Экономический режим: профессиональный</x:v>
      </x:c>
      <x:c r="Q46" s="14" t="str">
        <x:v>Проект руководителя + MODEL: фасетная классификация</x:v>
      </x:c>
      <x:c r="R46" s="14" t="str">
        <x:v>Высокая</x:v>
      </x:c>
      <x:c r="S46" s="14" t="str">
        <x:v>Выделяется по систематическому получению дохода и трудовой функции.</x:v>
      </x:c>
    </x:row>
    <x:row r="47">
      <x:c r="A47" s="14" t="str">
        <x:v>O-36</x:v>
      </x:c>
      <x:c r="B47" s="14" t="str">
        <x:v>ORIGINAL</x:v>
      </x:c>
      <x:c r="C47" s="14" t="str">
        <x:v>Символика физкультурного/спортивного мероприятия</x:v>
      </x:c>
      <x:c r="D47" s="14" t="str">
        <x:v>Нет</x:v>
      </x:c>
      <x:c r="E47" s="14" t="str">
        <x:v>Спорт</x:v>
      </x:c>
      <x:c r="F47" s="14" t="str">
        <x:v>Инфраструктура и Нормы</x:v>
      </x:c>
      <x:c r="G47" s="14" t="str">
        <x:v>Мероприятия и события</x:v>
      </x:c>
      <x:c r="H47" s="14" t="str">
        <x:v>Attribute</x:v>
      </x:c>
      <x:c r="I47" s="14" t="str">
        <x:v>Категориальный сдвиг в сторону гражданского и авторского права.</x:v>
      </x:c>
      <x:c r="J47" s="14" t="str"/>
      <x:c r="K47" s="14" t="str">
        <x:v>EXTERNAL</x:v>
      </x:c>
      <x:c r="L47" s="14" t="str">
        <x:f>IF(OR(K47="EXTERNAL",K47="REMOVE",K47="REVIEW"),"Нет","Да")</x:f>
        <x:v>Нет</x:v>
      </x:c>
      <x:c r="M47" s="14" t="str"/>
      <x:c r="N47" s="14" t="str"/>
      <x:c r="O47" s="14" t="str"/>
      <x:c r="P47" s="14" t="str">
        <x:v>Интеллектуальная собственность</x:v>
      </x:c>
      <x:c r="Q47" s="14" t="str">
        <x:v>MODEL: решение о границе ядра v0.1; термин отсутствует в проекте руководителя</x:v>
      </x:c>
      <x:c r="R47" s="14" t="str">
        <x:v>Средняя</x:v>
      </x:c>
      <x:c r="S47" s="14" t="str">
        <x:v>Объект гражданско-правового/интеллектуального регулирования.</x:v>
      </x:c>
    </x:row>
    <x:row r="48">
      <x:c r="A48" s="14" t="str">
        <x:v>O-37</x:v>
      </x:c>
      <x:c r="B48" s="14" t="str">
        <x:v>ORIGINAL</x:v>
      </x:c>
      <x:c r="C48" s="14" t="str">
        <x:v>Специалист по спортивной медицине</x:v>
      </x:c>
      <x:c r="D48" s="14" t="str">
        <x:v>Нет</x:v>
      </x:c>
      <x:c r="E48" s="14" t="str">
        <x:v>Спорт</x:v>
      </x:c>
      <x:c r="F48" s="14" t="str">
        <x:v>Субъекты</x:v>
      </x:c>
      <x:c r="G48" s="14" t="str">
        <x:v>Физические лица</x:v>
      </x:c>
      <x:c r="H48" s="14" t="str">
        <x:v>Role</x:v>
      </x:c>
      <x:c r="I48" s="14" t="str">
        <x:v>Определение исключительно через функцию оказания помощи спортсменам.</x:v>
      </x:c>
      <x:c r="J48" s="14" t="str"/>
      <x:c r="K48" s="14" t="str">
        <x:v>EXTERNAL</x:v>
      </x:c>
      <x:c r="L48" s="14" t="str">
        <x:f>IF(OR(K48="EXTERNAL",K48="REMOVE",K48="REVIEW"),"Нет","Да")</x:f>
        <x:v>Нет</x:v>
      </x:c>
      <x:c r="M48" s="14" t="str"/>
      <x:c r="N48" s="14" t="str"/>
      <x:c r="O48" s="14" t="str"/>
      <x:c r="P48" s="14" t="str">
        <x:v>Трудовая функция</x:v>
      </x:c>
      <x:c r="Q48" s="14" t="str">
        <x:v>MODEL: решение о границе ядра v0.1; термин отсутствует в проекте руководителя</x:v>
      </x:c>
      <x:c r="R48" s="14" t="str">
        <x:v>Средняя</x:v>
      </x:c>
      <x:c r="S48" s="14" t="str">
        <x:v>Пограничный медицинско-правовой профессиональный термин.</x:v>
      </x:c>
    </x:row>
    <x:row r="49">
      <x:c r="A49" s="14" t="str">
        <x:v>O-38</x:v>
      </x:c>
      <x:c r="B49" s="14" t="str">
        <x:v>ORIGINAL</x:v>
      </x:c>
      <x:c r="C49" s="14" t="str">
        <x:v>Спорт</x:v>
      </x:c>
      <x:c r="D49" s="14" t="str">
        <x:v>Да</x:v>
      </x:c>
      <x:c r="E49" s="14" t="str">
        <x:v>Спорт</x:v>
      </x:c>
      <x:c r="F49" s="14" t="str">
        <x:v>Высший мета-класс</x:v>
      </x:c>
      <x:c r="G49" s="14" t="str">
        <x:v>—</x:v>
      </x:c>
      <x:c r="H49" s="14" t="str">
        <x:v>Root</x:v>
      </x:c>
      <x:c r="I49" s="14" t="str">
        <x:v>Фундаментальный узел; определяется как «совокупность видов спорта» (круг в определении).</x:v>
      </x:c>
      <x:c r="J49" s="14" t="str">
        <x:v>часть социально-культурной сферы общества, сущность которой составляют упорядоченные общественные отношения, направленные на удовлетворение социальной потребности в состязательности, осуществляемые в системе специальной подготовки и реализуемые в условиях соревнований.</x:v>
      </x:c>
      <x:c r="K49" s="14" t="str">
        <x:v>REDEFINE</x:v>
      </x:c>
      <x:c r="L49" s="14" t="str">
        <x:f>IF(OR(K49="EXTERNAL",K49="REMOVE",K49="REVIEW"),"Нет","Да")</x:f>
        <x:v>Да</x:v>
      </x:c>
      <x:c r="M49" s="14" t="str">
        <x:v>Физическая культура и спорт</x:v>
      </x:c>
      <x:c r="N49" s="14" t="str">
        <x:v>Group</x:v>
      </x:c>
      <x:c r="O49" s="14" t="str">
        <x:v>Domain</x:v>
      </x:c>
      <x:c r="P49" s="14" t="str">
        <x:v>Состязательная деятельность</x:v>
      </x:c>
      <x:c r="Q49" s="14" t="str">
        <x:v>Проект руководителя + MODEL: корневая структура</x:v>
      </x:c>
      <x:c r="R49" s="14" t="str">
        <x:v>Высокая</x:v>
      </x:c>
      <x:c r="S49" s="14" t="str">
        <x:v>Один из двух базовых доменных узлов.</x:v>
      </x:c>
    </x:row>
    <x:row r="50">
      <x:c r="A50" s="14" t="str">
        <x:v>O-39</x:v>
      </x:c>
      <x:c r="B50" s="14" t="str">
        <x:v>ORIGINAL</x:v>
      </x:c>
      <x:c r="C50" s="14" t="str">
        <x:v>Спорт высших достижений</x:v>
      </x:c>
      <x:c r="D50" s="14" t="str">
        <x:v>Да</x:v>
      </x:c>
      <x:c r="E50" s="14" t="str">
        <x:v>Спорт</x:v>
      </x:c>
      <x:c r="F50" s="14" t="str">
        <x:v>Сферы и виды спорта</x:v>
      </x:c>
      <x:c r="G50" s="14" t="str">
        <x:v>Спорт</x:v>
      </x:c>
      <x:c r="H50" s="14" t="str">
        <x:v>Is-A</x:v>
      </x:c>
      <x:c r="I50" s="14" t="str">
        <x:v>Классификация по уровню спортивного результата.</x:v>
      </x:c>
      <x:c r="J50" s="14" t="str">
        <x:v>форма организации общественных отношений направленная на достижение спортсменами высоких спортивных результатов на официальных всероссийских и международных спортивных соревнованиях.</x:v>
      </x:c>
      <x:c r="K50" s="14" t="str">
        <x:v>REDEFINE</x:v>
      </x:c>
      <x:c r="L50" s="14" t="str">
        <x:f>IF(OR(K50="EXTERNAL",K50="REMOVE",K50="REVIEW"),"Нет","Да")</x:f>
        <x:v>Да</x:v>
      </x:c>
      <x:c r="M50" s="14" t="str">
        <x:v>Формы спорта</x:v>
      </x:c>
      <x:c r="N50" s="14" t="str">
        <x:v>Is-A</x:v>
      </x:c>
      <x:c r="O50" s="14" t="str">
        <x:v>SportForm</x:v>
      </x:c>
      <x:c r="P50" s="14" t="str">
        <x:v>Цель: высокий спортивный результат</x:v>
      </x:c>
      <x:c r="Q50" s="14" t="str">
        <x:v>Проект руководителя + MODEL: фасетная классификация</x:v>
      </x:c>
      <x:c r="R50" s="14" t="str">
        <x:v>Высокая</x:v>
      </x:c>
      <x:c r="S50" s="14" t="str">
        <x:v>Выделяется по целевому уровню результата.</x:v>
      </x:c>
    </x:row>
    <x:row r="51">
      <x:c r="A51" s="14" t="str">
        <x:v>O-40</x:v>
      </x:c>
      <x:c r="B51" s="14" t="str">
        <x:v>ORIGINAL</x:v>
      </x:c>
      <x:c r="C51" s="14" t="str">
        <x:v>Спортивная дисквалификация спортсмена</x:v>
      </x:c>
      <x:c r="D51" s="14" t="str">
        <x:v>Нет</x:v>
      </x:c>
      <x:c r="E51" s="14" t="str">
        <x:v>Спорт</x:v>
      </x:c>
      <x:c r="F51" s="14" t="str">
        <x:v>Инфраструктура и Нормы</x:v>
      </x:c>
      <x:c r="G51" s="14" t="str">
        <x:v>Спортивная санкция</x:v>
      </x:c>
      <x:c r="H51" s="14" t="str">
        <x:v>Is-A</x:v>
      </x:c>
      <x:c r="I51" s="14" t="str">
        <x:v>Видовая форма санкции.</x:v>
      </x:c>
      <x:c r="J51" s="14" t="str"/>
      <x:c r="K51" s="14" t="str">
        <x:v>EXTERNAL</x:v>
      </x:c>
      <x:c r="L51" s="14" t="str">
        <x:f>IF(OR(K51="EXTERNAL",K51="REMOVE",K51="REVIEW"),"Нет","Да")</x:f>
        <x:v>Нет</x:v>
      </x:c>
      <x:c r="M51" s="14" t="str"/>
      <x:c r="N51" s="14" t="str"/>
      <x:c r="O51" s="14" t="str"/>
      <x:c r="P51" s="14" t="str">
        <x:v>Форма отстранения</x:v>
      </x:c>
      <x:c r="Q51" s="14" t="str">
        <x:v>MODEL: решение о границе ядра v0.1; термин отсутствует в проекте руководителя</x:v>
      </x:c>
      <x:c r="R51" s="14" t="str">
        <x:v>Средняя</x:v>
      </x:c>
      <x:c r="S51" s="14" t="str">
        <x:v>Специализированная мера спортивной ответственности.</x:v>
      </x:c>
    </x:row>
    <x:row r="52">
      <x:c r="A52" s="14" t="str">
        <x:v>O-41</x:v>
      </x:c>
      <x:c r="B52" s="14" t="str">
        <x:v>ORIGINAL</x:v>
      </x:c>
      <x:c r="C52" s="14" t="str">
        <x:v>Спортивная дисциплина</x:v>
      </x:c>
      <x:c r="D52" s="14" t="str">
        <x:v>Нет</x:v>
      </x:c>
      <x:c r="E52" s="14" t="str">
        <x:v>Спорт</x:v>
      </x:c>
      <x:c r="F52" s="14" t="str">
        <x:v>Сферы и виды спорта</x:v>
      </x:c>
      <x:c r="G52" s="14" t="str">
        <x:v>Вид спорта</x:v>
      </x:c>
      <x:c r="H52" s="14" t="str">
        <x:v>Part-Of</x:v>
      </x:c>
      <x:c r="I52" s="14" t="str">
        <x:v>Меронимическая цепь (часть вида спорта).</x:v>
      </x:c>
      <x:c r="J52" s="14" t="str"/>
      <x:c r="K52" s="14" t="str">
        <x:v>KEEP</x:v>
      </x:c>
      <x:c r="L52" s="14" t="str">
        <x:f>IF(OR(K52="EXTERNAL",K52="REMOVE",K52="REVIEW"),"Нет","Да")</x:f>
        <x:v>Да</x:v>
      </x:c>
      <x:c r="M52" s="14" t="str">
        <x:v>Вид спорта</x:v>
      </x:c>
      <x:c r="N52" s="14" t="str">
        <x:v>Part-Of</x:v>
      </x:c>
      <x:c r="O52" s="14" t="str">
        <x:v>SportDiscipline</x:v>
      </x:c>
      <x:c r="P52" s="14" t="str">
        <x:v>Структурная часть вида спорта</x:v>
      </x:c>
      <x:c r="Q52" s="14" t="str">
        <x:v>MODEL: термин отсутствует в проекте руководителя, но нужен для предметной структуры</x:v>
      </x:c>
      <x:c r="R52" s="14" t="str">
        <x:v>Средняя</x:v>
      </x:c>
      <x:c r="S52" s="14" t="str">
        <x:v>Сохраняем как часть вида спорта.</x:v>
      </x:c>
    </x:row>
    <x:row r="53">
      <x:c r="A53" s="14" t="str">
        <x:v>O-42</x:v>
      </x:c>
      <x:c r="B53" s="14" t="str">
        <x:v>ORIGINAL</x:v>
      </x:c>
      <x:c r="C53" s="14" t="str">
        <x:v>Спортивная подготовка</x:v>
      </x:c>
      <x:c r="D53" s="14" t="str">
        <x:v>Да</x:v>
      </x:c>
      <x:c r="E53" s="14" t="str">
        <x:v>Спорт</x:v>
      </x:c>
      <x:c r="F53" s="14" t="str">
        <x:v>Деятельность и процессы</x:v>
      </x:c>
      <x:c r="G53" s="14" t="str">
        <x:v>Спорт</x:v>
      </x:c>
      <x:c r="H53" s="14" t="str">
        <x:v>Is-A</x:v>
      </x:c>
      <x:c r="I53" s="14" t="str">
        <x:v>Определяется через образовательную или трудовую деятельность.</x:v>
      </x:c>
      <x:c r="J53" s="14" t="str">
        <x:v>вид деятельности, целью которой является успешное выступление спортсмена в соревнованиях по избранному виду спорта.</x:v>
      </x:c>
      <x:c r="K53" s="14" t="str">
        <x:v>REDEFINE</x:v>
      </x:c>
      <x:c r="L53" s="14" t="str">
        <x:f>IF(OR(K53="EXTERNAL",K53="REMOVE",K53="REVIEW"),"Нет","Да")</x:f>
        <x:v>Да</x:v>
      </x:c>
      <x:c r="M53" s="14" t="str">
        <x:v>Деятельность и процессы</x:v>
      </x:c>
      <x:c r="N53" s="14" t="str">
        <x:v>Is-A</x:v>
      </x:c>
      <x:c r="O53" s="14" t="str">
        <x:v>Process</x:v>
      </x:c>
      <x:c r="P53" s="14" t="str">
        <x:v>Цель: подготовка к соревнованиям</x:v>
      </x:c>
      <x:c r="Q53" s="14" t="str">
        <x:v>Проект руководителя + MODEL: категориальная нормализация</x:v>
      </x:c>
      <x:c r="R53" s="14" t="str">
        <x:v>Высокая</x:v>
      </x:c>
      <x:c r="S53" s="14" t="str">
        <x:v>Процесс, а не вид спорта.</x:v>
      </x:c>
    </x:row>
    <x:row r="54">
      <x:c r="A54" s="14" t="str">
        <x:v>O-43</x:v>
      </x:c>
      <x:c r="B54" s="14" t="str">
        <x:v>ORIGINAL</x:v>
      </x:c>
      <x:c r="C54" s="14" t="str">
        <x:v>Спортивный резерв</x:v>
      </x:c>
      <x:c r="D54" s="14" t="str">
        <x:v>Да</x:v>
      </x:c>
      <x:c r="E54" s="14" t="str">
        <x:v>Спорт</x:v>
      </x:c>
      <x:c r="F54" s="14" t="str">
        <x:v>Субъекты</x:v>
      </x:c>
      <x:c r="G54" s="14" t="str">
        <x:v>Физические лица</x:v>
      </x:c>
      <x:c r="H54" s="14" t="str">
        <x:v>Is-A</x:v>
      </x:c>
      <x:c r="I54" s="14" t="str">
        <x:v>Определение через конечную цель — «включение в состав сборных команд».</x:v>
      </x:c>
      <x:c r="J54" s="14" t="str">
        <x:v>лица, проходящие спортивную подготовку в целях включения их в состав спортивных сборных команд, в том числе спортивных сборных команд Российской Федерации;</x:v>
      </x:c>
      <x:c r="K54" s="14" t="str">
        <x:v>MOVE</x:v>
      </x:c>
      <x:c r="L54" s="14" t="str">
        <x:f>IF(OR(K54="EXTERNAL",K54="REMOVE",K54="REVIEW"),"Нет","Да")</x:f>
        <x:v>Да</x:v>
      </x:c>
      <x:c r="M54" s="14" t="str">
        <x:v>Индивидуальные субъекты</x:v>
      </x:c>
      <x:c r="N54" s="14" t="str">
        <x:v>Is-A</x:v>
      </x:c>
      <x:c r="O54" s="14" t="str">
        <x:v>PersonCategory</x:v>
      </x:c>
      <x:c r="P54" s="14" t="str">
        <x:v>Цель подготовки: включение в сборные</x:v>
      </x:c>
      <x:c r="Q54" s="14" t="str">
        <x:v>Проект руководителя + MODEL: восстановление родового класса</x:v>
      </x:c>
      <x:c r="R54" s="14" t="str">
        <x:v>Высокая</x:v>
      </x:c>
      <x:c r="S54" s="14" t="str">
        <x:v>Категория лиц, проходящих спортивную подготовку.</x:v>
      </x:c>
    </x:row>
    <x:row r="55">
      <x:c r="A55" s="14" t="str">
        <x:v>O-44</x:v>
      </x:c>
      <x:c r="B55" s="14" t="str">
        <x:v>ORIGINAL</x:v>
      </x:c>
      <x:c r="C55" s="14" t="str">
        <x:v>Спортивная федерация</x:v>
      </x:c>
      <x:c r="D55" s="14" t="str">
        <x:v>Нет</x:v>
      </x:c>
      <x:c r="E55" s="14" t="str">
        <x:v>Спорт</x:v>
      </x:c>
      <x:c r="F55" s="14" t="str">
        <x:v>Субъекты</x:v>
      </x:c>
      <x:c r="G55" s="14" t="str">
        <x:v>Физкультурно-спортивная организация</x:v>
      </x:c>
      <x:c r="H55" s="14" t="str">
        <x:v>Is-A</x:v>
      </x:c>
      <x:c r="I55" s="14" t="str">
        <x:v>Базовый родовой класс для п. 6 и п. 6.1.</x:v>
      </x:c>
      <x:c r="J55" s="14" t="str"/>
      <x:c r="K55" s="14" t="str">
        <x:v>MOVE</x:v>
      </x:c>
      <x:c r="L55" s="14" t="str">
        <x:f>IF(OR(K55="EXTERNAL",K55="REMOVE",K55="REVIEW"),"Нет","Да")</x:f>
        <x:v>Да</x:v>
      </x:c>
      <x:c r="M55" s="14" t="str">
        <x:v>Организации</x:v>
      </x:c>
      <x:c r="N55" s="14" t="str">
        <x:v>Is-A</x:v>
      </x:c>
      <x:c r="O55" s="14" t="str">
        <x:v>Organization</x:v>
      </x:c>
      <x:c r="P55" s="14" t="str">
        <x:v>Функция развития вида спорта</x:v>
      </x:c>
      <x:c r="Q55" s="14" t="str">
        <x:v>MODEL: термин отсутствует в проекте руководителя, но нужен как родовой класс федераций</x:v>
      </x:c>
      <x:c r="R55" s="14" t="str">
        <x:v>Высокая</x:v>
      </x:c>
      <x:c r="S55" s="14" t="str">
        <x:v>Необходимый родитель для общероссийской и региональной федераций.</x:v>
      </x:c>
    </x:row>
    <x:row r="56">
      <x:c r="A56" s="14" t="str">
        <x:v>O-45</x:v>
      </x:c>
      <x:c r="B56" s="14" t="str">
        <x:v>ORIGINAL</x:v>
      </x:c>
      <x:c r="C56" s="14" t="str">
        <x:v>Спортивное сооружение</x:v>
      </x:c>
      <x:c r="D56" s="14" t="str">
        <x:v>Да</x:v>
      </x:c>
      <x:c r="E56" s="14" t="str">
        <x:v>Физическая культура</x:v>
      </x:c>
      <x:c r="F56" s="14" t="str">
        <x:v>Инфраструктура и Нормы</x:v>
      </x:c>
      <x:c r="G56" s="14" t="str">
        <x:v>Объект спорта</x:v>
      </x:c>
      <x:c r="H56" s="14" t="str">
        <x:v>Is-A</x:v>
      </x:c>
      <x:c r="I56" s="14" t="str">
        <x:v>Подкласс объекта спорта; ограничено понятием «инженерно-строительный объект».</x:v>
      </x:c>
      <x:c r="J56" s="14" t="str">
        <x:v>инженерно-строительный объект, предназначенный для проведения физкультурных мероприятий и (или) спортивных мероприятий;</x:v>
      </x:c>
      <x:c r="K56" s="14" t="str">
        <x:v>KEEP</x:v>
      </x:c>
      <x:c r="L56" s="14" t="str">
        <x:f>IF(OR(K56="EXTERNAL",K56="REMOVE",K56="REVIEW"),"Нет","Да")</x:f>
        <x:v>Да</x:v>
      </x:c>
      <x:c r="M56" s="14" t="str">
        <x:v>Объект спорта</x:v>
      </x:c>
      <x:c r="N56" s="14" t="str">
        <x:v>Is-A</x:v>
      </x:c>
      <x:c r="O56" s="14" t="str">
        <x:v>Infrastructure</x:v>
      </x:c>
      <x:c r="P56" s="14" t="str">
        <x:v>Инженерно-строительный тип объекта</x:v>
      </x:c>
      <x:c r="Q56" s="14" t="str">
        <x:v>Проект руководителя</x:v>
      </x:c>
      <x:c r="R56" s="14" t="str">
        <x:v>Высокая</x:v>
      </x:c>
      <x:c r="S56" s="14" t="str">
        <x:v>Сохраняется как подтип объекта спорта.</x:v>
      </x:c>
    </x:row>
    <x:row r="57">
      <x:c r="A57" s="14" t="str">
        <x:v>O-46</x:v>
      </x:c>
      <x:c r="B57" s="14" t="str">
        <x:v>ORIGINAL</x:v>
      </x:c>
      <x:c r="C57" s="14" t="str">
        <x:v>Спортивное соревнование</x:v>
      </x:c>
      <x:c r="D57" s="14" t="str">
        <x:v>Да</x:v>
      </x:c>
      <x:c r="E57" s="14" t="str">
        <x:v>Спорт</x:v>
      </x:c>
      <x:c r="F57" s="14" t="str">
        <x:v>Мероприятия и события</x:v>
      </x:c>
      <x:c r="G57" s="14" t="str">
        <x:v>Спортивные мероприятия</x:v>
      </x:c>
      <x:c r="H57" s="14" t="str">
        <x:v>Is-A</x:v>
      </x:c>
      <x:c r="I57" s="14" t="str">
        <x:v>Состязание по утвержденному регламенту.</x:v>
      </x:c>
      <x:c r="J57" s="14" t="str">
        <x:v>регламентированное правилами вида спорта состязание участников (лиц допущенных к состязанию).</x:v>
      </x:c>
      <x:c r="K57" s="14" t="str">
        <x:v>REDEFINE</x:v>
      </x:c>
      <x:c r="L57" s="14" t="str">
        <x:f>IF(OR(K57="EXTERNAL",K57="REMOVE",K57="REVIEW"),"Нет","Да")</x:f>
        <x:v>Да</x:v>
      </x:c>
      <x:c r="M57" s="14" t="str">
        <x:v>Спортивные мероприятия</x:v>
      </x:c>
      <x:c r="N57" s="14" t="str">
        <x:v>Is-A</x:v>
      </x:c>
      <x:c r="O57" s="14" t="str">
        <x:v>Event</x:v>
      </x:c>
      <x:c r="P57" s="14" t="str">
        <x:v>Состязательная форма</x:v>
      </x:c>
      <x:c r="Q57" s="14" t="str">
        <x:v>Проект руководителя</x:v>
      </x:c>
      <x:c r="R57" s="14" t="str">
        <x:v>Высокая</x:v>
      </x:c>
      <x:c r="S57" s="14" t="str">
        <x:v>Род — спортивные мероприятия; соревнование является их разновидностью.</x:v>
      </x:c>
    </x:row>
    <x:row r="58">
      <x:c r="A58" s="14" t="str">
        <x:v>O-47</x:v>
      </x:c>
      <x:c r="B58" s="14" t="str">
        <x:v>ORIGINAL</x:v>
      </x:c>
      <x:c r="C58" s="14" t="str">
        <x:v>Спортивные мероприятия</x:v>
      </x:c>
      <x:c r="D58" s="14" t="str">
        <x:v>Да</x:v>
      </x:c>
      <x:c r="E58" s="14" t="str">
        <x:v>Спорт</x:v>
      </x:c>
      <x:c r="F58" s="14" t="str">
        <x:v>Мероприятия и события</x:v>
      </x:c>
      <x:c r="G58" s="14" t="str">
        <x:v>Спорт</x:v>
      </x:c>
      <x:c r="H58" s="14" t="str">
        <x:v>Is-A</x:v>
      </x:c>
      <x:c r="I58" s="14" t="str">
        <x:v>Объединяет соревнования И учебно-тренировочные мероприятия.</x:v>
      </x:c>
      <x:c r="J58" s="14" t="str">
        <x:v>спортивные соревнования, а также учебно-тренировочные и другие мероприятия по подготовке к спортивным соревнованиям;</x:v>
      </x:c>
      <x:c r="K58" s="14" t="str">
        <x:v>REDEFINE</x:v>
      </x:c>
      <x:c r="L58" s="14" t="str">
        <x:f>IF(OR(K58="EXTERNAL",K58="REMOVE",K58="REVIEW"),"Нет","Да")</x:f>
        <x:v>Да</x:v>
      </x:c>
      <x:c r="M58" s="14" t="str">
        <x:v>Мероприятия</x:v>
      </x:c>
      <x:c r="N58" s="14" t="str">
        <x:v>Is-A</x:v>
      </x:c>
      <x:c r="O58" s="14" t="str">
        <x:v>Event</x:v>
      </x:c>
      <x:c r="P58" s="14" t="str">
        <x:v>Назначение: соревнование/подготовка</x:v>
      </x:c>
      <x:c r="Q58" s="14" t="str">
        <x:v>Проект руководителя + MODEL: категориальная нормализация</x:v>
      </x:c>
      <x:c r="R58" s="14" t="str">
        <x:v>Высокая</x:v>
      </x:c>
      <x:c r="S58" s="14" t="str">
        <x:v>Общий событийный класс спорта.</x:v>
      </x:c>
    </x:row>
    <x:row r="59">
      <x:c r="A59" s="14" t="str">
        <x:v>O-48</x:v>
      </x:c>
      <x:c r="B59" s="14" t="str">
        <x:v>ORIGINAL</x:v>
      </x:c>
      <x:c r="C59" s="14" t="str">
        <x:v>Спортивная санкция</x:v>
      </x:c>
      <x:c r="D59" s="14" t="str">
        <x:v>Нет</x:v>
      </x:c>
      <x:c r="E59" s="14" t="str">
        <x:v>Спорт</x:v>
      </x:c>
      <x:c r="F59" s="14" t="str">
        <x:v>Инфраструктура и Нормы</x:v>
      </x:c>
      <x:c r="G59" s="14" t="str">
        <x:v>Спорт</x:v>
      </x:c>
      <x:c r="H59" s="14" t="str">
        <x:v>Is-A</x:v>
      </x:c>
      <x:c r="I59" s="14" t="str">
        <x:v>Родовой класс для п. 14 (дисквалификация).</x:v>
      </x:c>
      <x:c r="J59" s="14" t="str"/>
      <x:c r="K59" s="14" t="str">
        <x:v>EXTERNAL</x:v>
      </x:c>
      <x:c r="L59" s="14" t="str">
        <x:f>IF(OR(K59="EXTERNAL",K59="REMOVE",K59="REVIEW"),"Нет","Да")</x:f>
        <x:v>Нет</x:v>
      </x:c>
      <x:c r="M59" s="14" t="str"/>
      <x:c r="N59" s="14" t="str"/>
      <x:c r="O59" s="14" t="str"/>
      <x:c r="P59" s="14" t="str">
        <x:v>Мера ответственности</x:v>
      </x:c>
      <x:c r="Q59" s="14" t="str">
        <x:v>MODEL: решение о границе ядра v0.1; термин отсутствует в проекте руководителя</x:v>
      </x:c>
      <x:c r="R59" s="14" t="str">
        <x:v>Средняя</x:v>
      </x:c>
      <x:c r="S59" s="14" t="str">
        <x:v>Специализированный дисциплинарный блок.</x:v>
      </x:c>
    </x:row>
    <x:row r="60">
      <x:c r="A60" s="14" t="str">
        <x:v>O-49</x:v>
      </x:c>
      <x:c r="B60" s="14" t="str">
        <x:v>ORIGINAL</x:v>
      </x:c>
      <x:c r="C60" s="14" t="str">
        <x:v>Спортивные сборные команды РФ</x:v>
      </x:c>
      <x:c r="D60" s="14" t="str">
        <x:v>Да</x:v>
      </x:c>
      <x:c r="E60" s="14" t="str">
        <x:v>Спорт</x:v>
      </x:c>
      <x:c r="F60" s="14" t="str">
        <x:v>Субъекты</x:v>
      </x:c>
      <x:c r="G60" s="14" t="str">
        <x:v>Коллективные субъекты</x:v>
      </x:c>
      <x:c r="H60" s="14" t="str">
        <x:v>Is-A</x:v>
      </x:c>
      <x:c r="I60" s="14" t="str">
        <x:v>Формируются общероссийскими федерациями.</x:v>
      </x:c>
      <x:c r="J60" s="14" t="str">
        <x:v>коллективы спортсменов, тренеров и специалистов формируемые общероссийскими спортивными федерациями (за исключением олимпийской команды России, паралимпийской команды России) для подготовки к международным спортивным соревнованиям и участия в них от имени Российской Федерации;</x:v>
      </x:c>
      <x:c r="K60" s="14" t="str">
        <x:v>REDEFINE</x:v>
      </x:c>
      <x:c r="L60" s="14" t="str">
        <x:f>IF(OR(K60="EXTERNAL",K60="REMOVE",K60="REVIEW"),"Нет","Да")</x:f>
        <x:v>Да</x:v>
      </x:c>
      <x:c r="M60" s="14" t="str">
        <x:v>Коллективные субъекты</x:v>
      </x:c>
      <x:c r="N60" s="14" t="str">
        <x:v>Is-A</x:v>
      </x:c>
      <x:c r="O60" s="14" t="str">
        <x:v>Collective</x:v>
      </x:c>
      <x:c r="P60" s="14" t="str">
        <x:v>Уровень представительства: РФ</x:v>
      </x:c>
      <x:c r="Q60" s="14" t="str">
        <x:v>Проект руководителя + MODEL: восстановление родового класса</x:v>
      </x:c>
      <x:c r="R60" s="14" t="str">
        <x:v>Высокая</x:v>
      </x:c>
      <x:c r="S60" s="14" t="str">
        <x:v>Коллективный субъект; дополнительно связан с общероссийской федерацией.</x:v>
      </x:c>
    </x:row>
    <x:row r="61">
      <x:c r="A61" s="14" t="str">
        <x:v>O-50</x:v>
      </x:c>
      <x:c r="B61" s="14" t="str">
        <x:v>ORIGINAL</x:v>
      </x:c>
      <x:c r="C61" s="14" t="str">
        <x:v>Спортивная делегация РФ</x:v>
      </x:c>
      <x:c r="D61" s="14" t="str">
        <x:v>Да</x:v>
      </x:c>
      <x:c r="E61" s="14" t="str">
        <x:v>Спорт</x:v>
      </x:c>
      <x:c r="F61" s="14" t="str">
        <x:v>Субъекты</x:v>
      </x:c>
      <x:c r="G61" s="14" t="str">
        <x:v>Коллективные субъекты</x:v>
      </x:c>
      <x:c r="H61" s="14" t="str">
        <x:v>Part-Of</x:v>
      </x:c>
      <x:c r="I61" s="14" t="str">
        <x:v>Составное понятие для не-олимпийских международных соревнований.</x:v>
      </x:c>
      <x:c r="J61" s="14" t="str">
        <x:v>члены спортивных сборных команд Российской Федерации, представители физкультурно-спортивных организаций, спортивных федераций, Олимпийского комитета России, Паралимпийского комитета России, Сурдлимпийского комитета России, Специальной олимпиады России, Российского студенческого спортивного союза, должностные лица органов государственной власти Российской Федерации, представляющие на международных спортивных мероприятиях (за исключением Олимпийских игр, Паралимпийских игр и других международных спортивных мероприятий, проводимых Международным олимпийским комитетом, континентальными ассоциациями национальных олимпийских комитетов и Международным паралимпийским комитетом), Российскую Федерацию и (или) обеспечивающие права и законные интересы российских спортсменов в период проведения международных спортивных мероприятий;</x:v>
      </x:c>
      <x:c r="K61" s="14" t="str">
        <x:v>REDEFINE</x:v>
      </x:c>
      <x:c r="L61" s="14" t="str">
        <x:f>IF(OR(K61="EXTERNAL",K61="REMOVE",K61="REVIEW"),"Нет","Да")</x:f>
        <x:v>Да</x:v>
      </x:c>
      <x:c r="M61" s="14" t="str">
        <x:v>Коллективные субъекты</x:v>
      </x:c>
      <x:c r="N61" s="14" t="str">
        <x:v>Is-A</x:v>
      </x:c>
      <x:c r="O61" s="14" t="str">
        <x:v>Collective</x:v>
      </x:c>
      <x:c r="P61" s="14" t="str">
        <x:v>Функция представительства РФ</x:v>
      </x:c>
      <x:c r="Q61" s="14" t="str">
        <x:v>Проект руководителя + MODEL: восстановление родового класса</x:v>
      </x:c>
      <x:c r="R61" s="14" t="str">
        <x:v>Высокая</x:v>
      </x:c>
      <x:c r="S61" s="14" t="str">
        <x:v>Коллективный субъект международного представительства.</x:v>
      </x:c>
    </x:row>
    <x:row r="62">
      <x:c r="A62" s="14" t="str">
        <x:v>O-51</x:v>
      </x:c>
      <x:c r="B62" s="14" t="str">
        <x:v>ORIGINAL</x:v>
      </x:c>
      <x:c r="C62" s="14" t="str">
        <x:v>Спортивный агент</x:v>
      </x:c>
      <x:c r="D62" s="14" t="str">
        <x:v>Нет</x:v>
      </x:c>
      <x:c r="E62" s="14" t="str">
        <x:v>Спорт</x:v>
      </x:c>
      <x:c r="F62" s="14" t="str">
        <x:v>Субъекты</x:v>
      </x:c>
      <x:c r="G62" s="14" t="str">
        <x:v>Физические / Юр. лица</x:v>
      </x:c>
      <x:c r="H62" s="14" t="str">
        <x:v>Role</x:v>
      </x:c>
      <x:c r="I62" s="14" t="str">
        <x:v>Определение через деятельность по содействию в трудоустройстве.</x:v>
      </x:c>
      <x:c r="J62" s="14" t="str"/>
      <x:c r="K62" s="14" t="str">
        <x:v>EXTERNAL</x:v>
      </x:c>
      <x:c r="L62" s="14" t="str">
        <x:f>IF(OR(K62="EXTERNAL",K62="REMOVE",K62="REVIEW"),"Нет","Да")</x:f>
        <x:v>Нет</x:v>
      </x:c>
      <x:c r="M62" s="14" t="str"/>
      <x:c r="N62" s="14" t="str"/>
      <x:c r="O62" s="14" t="str"/>
      <x:c r="P62" s="14" t="str">
        <x:v>Посредничество</x:v>
      </x:c>
      <x:c r="Q62" s="14" t="str">
        <x:v>MODEL: решение о границе ядра v0.1; термин отсутствует в проекте руководителя</x:v>
      </x:c>
      <x:c r="R62" s="14" t="str">
        <x:v>Средняя</x:v>
      </x:c>
      <x:c r="S62" s="14" t="str">
        <x:v>Пограничный трудовой/посреднический термин.</x:v>
      </x:c>
    </x:row>
    <x:row r="63">
      <x:c r="A63" s="14" t="str">
        <x:v>O-52</x:v>
      </x:c>
      <x:c r="B63" s="14" t="str">
        <x:v>ORIGINAL</x:v>
      </x:c>
      <x:c r="C63" s="14" t="str">
        <x:v>Спортивные сборные команды субъектов РФ</x:v>
      </x:c>
      <x:c r="D63" s="14" t="str">
        <x:v>Да</x:v>
      </x:c>
      <x:c r="E63" s="14" t="str">
        <x:v>Спорт</x:v>
      </x:c>
      <x:c r="F63" s="14" t="str">
        <x:v>Субъекты</x:v>
      </x:c>
      <x:c r="G63" s="14" t="str">
        <x:v>Коллективные субъекты</x:v>
      </x:c>
      <x:c r="H63" s="14" t="str">
        <x:v>Is-A</x:v>
      </x:c>
      <x:c r="I63" s="14" t="str">
        <x:v>Региональный аналог п. 20; формируются региональными федерациями.</x:v>
      </x:c>
      <x:c r="J63" s="14" t="str">
        <x:v>коллективы спортсменов, тренеров и специалистов формируемые для подготовки к спортивным соревнованиям и участия в них от имени субъекта Российской Федерации</x:v>
      </x:c>
      <x:c r="K63" s="14" t="str">
        <x:v>REDEFINE</x:v>
      </x:c>
      <x:c r="L63" s="14" t="str">
        <x:f>IF(OR(K63="EXTERNAL",K63="REMOVE",K63="REVIEW"),"Нет","Да")</x:f>
        <x:v>Да</x:v>
      </x:c>
      <x:c r="M63" s="14" t="str">
        <x:v>Коллективные субъекты</x:v>
      </x:c>
      <x:c r="N63" s="14" t="str">
        <x:v>Is-A</x:v>
      </x:c>
      <x:c r="O63" s="14" t="str">
        <x:v>Collective</x:v>
      </x:c>
      <x:c r="P63" s="14" t="str">
        <x:v>Уровень представительства: субъект РФ</x:v>
      </x:c>
      <x:c r="Q63" s="14" t="str">
        <x:v>Проект руководителя + MODEL: восстановление родового класса</x:v>
      </x:c>
      <x:c r="R63" s="14" t="str">
        <x:v>Высокая</x:v>
      </x:c>
      <x:c r="S63" s="14" t="str">
        <x:v>Коллективный субъект регионального уровня.</x:v>
      </x:c>
    </x:row>
    <x:row r="64">
      <x:c r="A64" s="14" t="str">
        <x:v>O-53</x:v>
      </x:c>
      <x:c r="B64" s="14" t="str">
        <x:v>ORIGINAL</x:v>
      </x:c>
      <x:c r="C64" s="14" t="str">
        <x:v>Спортивный судья</x:v>
      </x:c>
      <x:c r="D64" s="14" t="str">
        <x:v>Да</x:v>
      </x:c>
      <x:c r="E64" s="14" t="str">
        <x:v>Спорт</x:v>
      </x:c>
      <x:c r="F64" s="14" t="str">
        <x:v>Субъекты</x:v>
      </x:c>
      <x:c r="G64" s="14" t="str">
        <x:v>Физические лица</x:v>
      </x:c>
      <x:c r="H64" s="14" t="str">
        <x:v>Role</x:v>
      </x:c>
      <x:c r="I64" s="14" t="str">
        <x:v>Определение через специальную подготовку и квалификационную категорию.</x:v>
      </x:c>
      <x:c r="J64" s="14" t="str">
        <x:v>физическое лицо, уполномоченное организатором спортивного соревнования обеспечить соблюдение правил вида спорта и положения (регламента) о спортивном соревновании, прошедшее специальную подготовку и получившее соответствующую квалификационную категорию;</x:v>
      </x:c>
      <x:c r="K64" s="14" t="str">
        <x:v>KEEP</x:v>
      </x:c>
      <x:c r="L64" s="14" t="str">
        <x:f>IF(OR(K64="EXTERNAL",K64="REMOVE",K64="REVIEW"),"Нет","Да")</x:f>
        <x:v>Да</x:v>
      </x:c>
      <x:c r="M64" s="14" t="str">
        <x:v>Индивидуальные субъекты</x:v>
      </x:c>
      <x:c r="N64" s="14" t="str">
        <x:v>Role</x:v>
      </x:c>
      <x:c r="O64" s="14" t="str">
        <x:v>PersonRole</x:v>
      </x:c>
      <x:c r="P64" s="14" t="str">
        <x:v>Судейская функция и квалификация</x:v>
      </x:c>
      <x:c r="Q64" s="14" t="str">
        <x:v>Проект руководителя + MODEL: восстановление родового класса</x:v>
      </x:c>
      <x:c r="R64" s="14" t="str">
        <x:v>Высокая</x:v>
      </x:c>
      <x:c r="S64" s="14" t="str">
        <x:v>Роль физического лица в соревновании.</x:v>
      </x:c>
    </x:row>
    <x:row r="65">
      <x:c r="A65" s="14" t="str">
        <x:v>O-54</x:v>
      </x:c>
      <x:c r="B65" s="14" t="str">
        <x:v>ORIGINAL</x:v>
      </x:c>
      <x:c r="C65" s="14" t="str">
        <x:v>Спортсмен</x:v>
      </x:c>
      <x:c r="D65" s="14" t="str">
        <x:v>Да</x:v>
      </x:c>
      <x:c r="E65" s="14" t="str">
        <x:v>Спорт</x:v>
      </x:c>
      <x:c r="F65" s="14" t="str">
        <x:v>Субъекты</x:v>
      </x:c>
      <x:c r="G65" s="14" t="str">
        <x:v>Физические лица</x:v>
      </x:c>
      <x:c r="H65" s="14" t="str">
        <x:v>Role</x:v>
      </x:c>
      <x:c r="I65" s="14" t="str">
        <x:v>Определение через два признака: занятия спортом + выступления.</x:v>
      </x:c>
      <x:c r="J65" s="14" t="str">
        <x:v>физическое лицо, осуществляющее систематическую спортивную подготовку и выступающее на соревнованиях в избранном виде спорта.</x:v>
      </x:c>
      <x:c r="K65" s="14" t="str">
        <x:v>REDEFINE</x:v>
      </x:c>
      <x:c r="L65" s="14" t="str">
        <x:f>IF(OR(K65="EXTERNAL",K65="REMOVE",K65="REVIEW"),"Нет","Да")</x:f>
        <x:v>Да</x:v>
      </x:c>
      <x:c r="M65" s="14" t="str">
        <x:v>Индивидуальные субъекты</x:v>
      </x:c>
      <x:c r="N65" s="14" t="str">
        <x:v>Role</x:v>
      </x:c>
      <x:c r="O65" s="14" t="str">
        <x:v>PersonRole</x:v>
      </x:c>
      <x:c r="P65" s="14" t="str">
        <x:v>Систематическая подготовка и участие</x:v>
      </x:c>
      <x:c r="Q65" s="14" t="str">
        <x:v>Проект руководителя + MODEL: восстановление родового класса</x:v>
      </x:c>
      <x:c r="R65" s="14" t="str">
        <x:v>Высокая</x:v>
      </x:c>
      <x:c r="S65" s="14" t="str">
        <x:v>Базовая индивидуальная спортивная роль.</x:v>
      </x:c>
    </x:row>
    <x:row r="66">
      <x:c r="A66" s="14" t="str">
        <x:v>O-55</x:v>
      </x:c>
      <x:c r="B66" s="14" t="str">
        <x:v>ORIGINAL</x:v>
      </x:c>
      <x:c r="C66" s="14" t="str">
        <x:v>Спортсмен высокого класса</x:v>
      </x:c>
      <x:c r="D66" s="14" t="str">
        <x:v>Нет</x:v>
      </x:c>
      <x:c r="E66" s="14" t="str">
        <x:v>Спорт</x:v>
      </x:c>
      <x:c r="F66" s="14" t="str">
        <x:v>Субъекты</x:v>
      </x:c>
      <x:c r="G66" s="14" t="str">
        <x:v>Спортсмен</x:v>
      </x:c>
      <x:c r="H66" s="14" t="str">
        <x:v>Is-A</x:v>
      </x:c>
      <x:c r="I66" s="14" t="str">
        <x:v>Классификация по формальному спортивному званию.</x:v>
      </x:c>
      <x:c r="J66" s="14" t="str"/>
      <x:c r="K66" s="14" t="str">
        <x:v>EXTERNAL</x:v>
      </x:c>
      <x:c r="L66" s="14" t="str">
        <x:f>IF(OR(K66="EXTERNAL",K66="REMOVE",K66="REVIEW"),"Нет","Да")</x:f>
        <x:v>Нет</x:v>
      </x:c>
      <x:c r="M66" s="14" t="str"/>
      <x:c r="N66" s="14" t="str"/>
      <x:c r="O66" s="14" t="str"/>
      <x:c r="P66" s="14" t="str">
        <x:v>Звание</x:v>
      </x:c>
      <x:c r="Q66" s="14" t="str">
        <x:v>MODEL: решение о границе ядра v0.1; термин отсутствует в проекте руководителя</x:v>
      </x:c>
      <x:c r="R66" s="14" t="str">
        <x:v>Средняя</x:v>
      </x:c>
      <x:c r="S66" s="14" t="str">
        <x:v>Статусная классификация спортсмена по формальному званию.</x:v>
      </x:c>
    </x:row>
    <x:row r="67">
      <x:c r="A67" s="14" t="str">
        <x:v>O-56</x:v>
      </x:c>
      <x:c r="B67" s="14" t="str">
        <x:v>ORIGINAL</x:v>
      </x:c>
      <x:c r="C67" s="14" t="str">
        <x:v>Студенческий спорт</x:v>
      </x:c>
      <x:c r="D67" s="14" t="str">
        <x:v>Да</x:v>
      </x:c>
      <x:c r="E67" s="14" t="str">
        <x:v>Спорт</x:v>
      </x:c>
      <x:c r="F67" s="14" t="str">
        <x:v>Сферы и виды спорта</x:v>
      </x:c>
      <x:c r="G67" s="14" t="str">
        <x:v>Спорт</x:v>
      </x:c>
      <x:c r="H67" s="14" t="str">
        <x:v>Is-A</x:v>
      </x:c>
      <x:c r="I67" s="14" t="str">
        <x:v>Классификация по институциональному статусу участников.</x:v>
      </x:c>
      <x:c r="J67" s="14" t="str">
        <x:v>форма организации общественных отношений направленная на физическое воспитание и спортивную подготовку обучающихся в профессиональных образовательных организациях и образовательных организациях высшего образования;</x:v>
      </x:c>
      <x:c r="K67" s="14" t="str">
        <x:v>REDEFINE</x:v>
      </x:c>
      <x:c r="L67" s="14" t="str">
        <x:f>IF(OR(K67="EXTERNAL",K67="REMOVE",K67="REVIEW"),"Нет","Да")</x:f>
        <x:v>Да</x:v>
      </x:c>
      <x:c r="M67" s="14" t="str">
        <x:v>Формы спорта</x:v>
      </x:c>
      <x:c r="N67" s="14" t="str">
        <x:v>Is-A</x:v>
      </x:c>
      <x:c r="O67" s="14" t="str">
        <x:v>SportForm</x:v>
      </x:c>
      <x:c r="P67" s="14" t="str">
        <x:v>Институциональный контекст: СПО/вуз</x:v>
      </x:c>
      <x:c r="Q67" s="14" t="str">
        <x:v>Проект руководителя + MODEL: фасетная классификация</x:v>
      </x:c>
      <x:c r="R67" s="14" t="str">
        <x:v>Высокая</x:v>
      </x:c>
      <x:c r="S67" s="14" t="str">
        <x:v>Выделяется по образовательному контексту.</x:v>
      </x:c>
    </x:row>
    <x:row r="68">
      <x:c r="A68" s="14" t="str">
        <x:v>O-57</x:v>
      </x:c>
      <x:c r="B68" s="14" t="str">
        <x:v>ORIGINAL</x:v>
      </x:c>
      <x:c r="C68" s="14" t="str">
        <x:v>Студенческая спортивная лига</x:v>
      </x:c>
      <x:c r="D68" s="14" t="str">
        <x:v>Нет</x:v>
      </x:c>
      <x:c r="E68" s="14" t="str">
        <x:v>Спорт</x:v>
      </x:c>
      <x:c r="F68" s="14" t="str">
        <x:v>Субъекты</x:v>
      </x:c>
      <x:c r="G68" s="14" t="str">
        <x:v>Организации и объединения</x:v>
      </x:c>
      <x:c r="H68" s="14" t="str">
        <x:v>Is-A</x:v>
      </x:c>
      <x:c r="I68" s="14" t="str">
        <x:v>Нормативное ограничение: «По одному виду спорта — только одна студенческая лига».</x:v>
      </x:c>
      <x:c r="J68" s="14" t="str"/>
      <x:c r="K68" s="14" t="str">
        <x:v>EXTERNAL</x:v>
      </x:c>
      <x:c r="L68" s="14" t="str">
        <x:f>IF(OR(K68="EXTERNAL",K68="REMOVE",K68="REVIEW"),"Нет","Да")</x:f>
        <x:v>Нет</x:v>
      </x:c>
      <x:c r="M68" s="14" t="str"/>
      <x:c r="N68" s="14" t="str"/>
      <x:c r="O68" s="14" t="str"/>
      <x:c r="P68" s="14" t="str">
        <x:v>Статус НКО / Вузы</x:v>
      </x:c>
      <x:c r="Q68" s="14" t="str">
        <x:v>MODEL: решение о границе ядра v0.1; термин отсутствует в проекте руководителя</x:v>
      </x:c>
      <x:c r="R68" s="14" t="str">
        <x:v>Средняя</x:v>
      </x:c>
      <x:c r="S68" s="14" t="str">
        <x:v>Специализированная организационная форма.</x:v>
      </x:c>
    </x:row>
    <x:row r="69">
      <x:c r="A69" s="14" t="str">
        <x:v>O-58</x:v>
      </x:c>
      <x:c r="B69" s="14" t="str">
        <x:v>ORIGINAL</x:v>
      </x:c>
      <x:c r="C69" s="14" t="str">
        <x:v>Тренер-преподаватель (тренер)</x:v>
      </x:c>
      <x:c r="D69" s="14" t="str">
        <x:v>Да</x:v>
      </x:c>
      <x:c r="E69" s="14" t="str">
        <x:v>Спорт</x:v>
      </x:c>
      <x:c r="F69" s="14" t="str">
        <x:v>Субъекты</x:v>
      </x:c>
      <x:c r="G69" s="14" t="str">
        <x:v>Физические лица</x:v>
      </x:c>
      <x:c r="H69" s="14" t="str">
        <x:v>Role</x:v>
      </x:c>
      <x:c r="I69" s="14" t="str">
        <x:v>Требует наличия профильного среднего или высшего образования.</x:v>
      </x:c>
      <x:c r="J69" s="14" t="str">
        <x:v>физическое лицо, которое имеет соответствующее среднее профессиональное образование или высшее образование, состоит в трудовых отношениях с организацией, осуществляющей спортивную подготовку и в должностные обязанности которого входит проведение со спортсменами учебно-тренировочных мероприятий и организация их участия в соревнованиях, либо физическое лицо, которое является индивидуальным предпринимателем, непосредственно осуществляющее физкультурно-спортивную деятельность. спортивная подготовка - вид деятельности, целью которой является успешное выступление спортсмена в соревнованиях по избранному виду спорта. педагогический работник - физическое лицо, которое состоит в трудовых, служебных отношениях с организацией, осуществляющей образовательную деятельность, и выполняет обязанности по обучению, воспитанию обучающихся и (или) организации образовательной деятельности (ФЗ-273). медицинский работник – физическое лицо, которое имеет медицинское или иное образование, работает в медицинской организации по должности, включенной в номенклатуру должностей медицинских работников и фармацевтических работников, и в трудовые (должностные) обязанности которого входит осуществление медицинской деятельности, либо физическое лицо, которое является индивидуальным предпринимателем, непосредственно осуществляющим медицинскую деятельность. (ФЗ-323)</x:v>
      </x:c>
      <x:c r="K69" s="14" t="str">
        <x:v>REDEFINE</x:v>
      </x:c>
      <x:c r="L69" s="14" t="str">
        <x:f>IF(OR(K69="EXTERNAL",K69="REMOVE",K69="REVIEW"),"Нет","Да")</x:f>
        <x:v>Да</x:v>
      </x:c>
      <x:c r="M69" s="14" t="str">
        <x:v>Индивидуальные субъекты</x:v>
      </x:c>
      <x:c r="N69" s="14" t="str">
        <x:v>Role</x:v>
      </x:c>
      <x:c r="O69" s="14" t="str">
        <x:v>PersonRole</x:v>
      </x:c>
      <x:c r="P69" s="14" t="str">
        <x:v>Профессиональная функция: тренировка</x:v>
      </x:c>
      <x:c r="Q69" s="14" t="str">
        <x:v>Проект руководителя + MODEL: восстановление родового класса</x:v>
      </x:c>
      <x:c r="R69" s="14" t="str">
        <x:v>Высокая</x:v>
      </x:c>
      <x:c r="S69" s="14" t="str">
        <x:v>Индивидуальная профессиональная роль.</x:v>
      </x:c>
    </x:row>
    <x:row r="70">
      <x:c r="A70" s="14" t="str">
        <x:v>O-59</x:v>
      </x:c>
      <x:c r="B70" s="14" t="str">
        <x:v>ORIGINAL</x:v>
      </x:c>
      <x:c r="C70" s="14" t="str">
        <x:v>Федеральные стандарты спортивной подготовки</x:v>
      </x:c>
      <x:c r="D70" s="14" t="str">
        <x:v>Да</x:v>
      </x:c>
      <x:c r="E70" s="14" t="str">
        <x:v>Спорт</x:v>
      </x:c>
      <x:c r="F70" s="14" t="str">
        <x:v>Инфраструктура и Нормы</x:v>
      </x:c>
      <x:c r="G70" s="14" t="str">
        <x:v>Спортивная подготовка</x:v>
      </x:c>
      <x:c r="H70" s="14" t="str">
        <x:v>Attribute</x:v>
      </x:c>
      <x:c r="I70" s="14" t="str">
        <x:v>Минимальные требования к подготовке.</x:v>
      </x:c>
      <x:c r="J70" s="14" t="str">
        <x:v>совокупность минимальных требований к спортивной подготовке по видам спорта;</x:v>
      </x:c>
      <x:c r="K70" s="14" t="str">
        <x:v>MOVE</x:v>
      </x:c>
      <x:c r="L70" s="14" t="str">
        <x:f>IF(OR(K70="EXTERNAL",K70="REMOVE",K70="REVIEW"),"Нет","Да")</x:f>
        <x:v>Да</x:v>
      </x:c>
      <x:c r="M70" s="14" t="str">
        <x:v>Нормы и документы</x:v>
      </x:c>
      <x:c r="N70" s="14" t="str">
        <x:v>Is-A</x:v>
      </x:c>
      <x:c r="O70" s="14" t="str">
        <x:v>NormDocument</x:v>
      </x:c>
      <x:c r="P70" s="14" t="str">
        <x:v>Нормативные требования к подготовке</x:v>
      </x:c>
      <x:c r="Q70" s="14" t="str">
        <x:v>Проект руководителя + MODEL: категориальная нормализация</x:v>
      </x:c>
      <x:c r="R70" s="14" t="str">
        <x:v>Высокая</x:v>
      </x:c>
      <x:c r="S70" s="14" t="str">
        <x:v>Документ/норма, а не атрибут процесса.</x:v>
      </x:c>
    </x:row>
    <x:row r="71">
      <x:c r="A71" s="14" t="str">
        <x:v>O-60</x:v>
      </x:c>
      <x:c r="B71" s="14" t="str">
        <x:v>ORIGINAL</x:v>
      </x:c>
      <x:c r="C71" s="14" t="str">
        <x:v>Физическое воспитание</x:v>
      </x:c>
      <x:c r="D71" s="14" t="str">
        <x:v>Да</x:v>
      </x:c>
      <x:c r="E71" s="14" t="str">
        <x:v>Физическая культура</x:v>
      </x:c>
      <x:c r="F71" s="14" t="str">
        <x:v>Деятельность и процессы</x:v>
      </x:c>
      <x:c r="G71" s="14" t="str">
        <x:v>Физическая культура</x:v>
      </x:c>
      <x:c r="H71" s="14" t="str">
        <x:v>Is-A</x:v>
      </x:c>
      <x:c r="I71" s="14" t="str">
        <x:v>Педагогический процесс развития способностей.</x:v>
      </x:c>
      <x:c r="J71" s="14" t="str">
        <x:v>вид воспитания, целью которого является развитие личности человека основанный на укреплении его здоровья, совершенствовании психофизических способностей, овладении специальными знаниями, двигательными умениями и навыками в сфере физической культуры и спорта, приобретении опыта их применения в процессе осознанной двигательной деятельности и формирования мотивации к здоровому образу жизни.</x:v>
      </x:c>
      <x:c r="K71" s="14" t="str">
        <x:v>REDEFINE</x:v>
      </x:c>
      <x:c r="L71" s="14" t="str">
        <x:f>IF(OR(K71="EXTERNAL",K71="REMOVE",K71="REVIEW"),"Нет","Да")</x:f>
        <x:v>Да</x:v>
      </x:c>
      <x:c r="M71" s="14" t="str">
        <x:v>Деятельность и процессы</x:v>
      </x:c>
      <x:c r="N71" s="14" t="str">
        <x:v>Is-A</x:v>
      </x:c>
      <x:c r="O71" s="14" t="str">
        <x:v>Process</x:v>
      </x:c>
      <x:c r="P71" s="14" t="str">
        <x:v>Педагогическая направленность</x:v>
      </x:c>
      <x:c r="Q71" s="14" t="str">
        <x:v>Проект руководителя + MODEL: категориальная нормализация</x:v>
      </x:c>
      <x:c r="R71" s="14" t="str">
        <x:v>Высокая</x:v>
      </x:c>
      <x:c r="S71" s="14" t="str">
        <x:v>Педагогический процесс.</x:v>
      </x:c>
    </x:row>
    <x:row r="72">
      <x:c r="A72" s="14" t="str">
        <x:v>O-61</x:v>
      </x:c>
      <x:c r="B72" s="14" t="str">
        <x:v>ORIGINAL</x:v>
      </x:c>
      <x:c r="C72" s="14" t="str">
        <x:v>Физическая культура</x:v>
      </x:c>
      <x:c r="D72" s="14" t="str">
        <x:v>Да</x:v>
      </x:c>
      <x:c r="E72" s="14" t="str">
        <x:v>Физическая культура</x:v>
      </x:c>
      <x:c r="F72" s="14" t="str">
        <x:v>Высший мета-класс</x:v>
      </x:c>
      <x:c r="G72" s="14" t="str">
        <x:v>—</x:v>
      </x:c>
      <x:c r="H72" s="14" t="str">
        <x:v>Root</x:v>
      </x:c>
      <x:c r="I72" s="14" t="str">
        <x:v>Высший концептуальный узел; логически подчинен спорту в законе, а не наоборот.</x:v>
      </x:c>
      <x:c r="J72" s="14" t="str">
        <x:v>часть социально-культурной сферы общества, сущность которой составляю общественные отношения направленные на удовлетворение потребности в двигательной активности, сохранении и укреплении здоровья, совершенствовании психофизических способностей, овладении специальными знаниями, двигательными умениями и навыками, приобретение опыта их применения в процессе двигательной деятельности и формирование мотивации к здоровому образу жизни.</x:v>
      </x:c>
      <x:c r="K72" s="14" t="str">
        <x:v>REDEFINE</x:v>
      </x:c>
      <x:c r="L72" s="14" t="str">
        <x:f>IF(OR(K72="EXTERNAL",K72="REMOVE",K72="REVIEW"),"Нет","Да")</x:f>
        <x:v>Да</x:v>
      </x:c>
      <x:c r="M72" s="14" t="str">
        <x:v>Физическая культура и спорт</x:v>
      </x:c>
      <x:c r="N72" s="14" t="str">
        <x:v>Group</x:v>
      </x:c>
      <x:c r="O72" s="14" t="str">
        <x:v>Domain</x:v>
      </x:c>
      <x:c r="P72" s="14" t="str">
        <x:v>Социально-культурная сфера</x:v>
      </x:c>
      <x:c r="Q72" s="14" t="str">
        <x:v>Проект руководителя + MODEL: корневая структура</x:v>
      </x:c>
      <x:c r="R72" s="14" t="str">
        <x:v>Высокая</x:v>
      </x:c>
      <x:c r="S72" s="14" t="str">
        <x:v>Один из двух базовых доменных узлов.</x:v>
      </x:c>
    </x:row>
    <x:row r="73">
      <x:c r="A73" s="14" t="str">
        <x:v>O-62</x:v>
      </x:c>
      <x:c r="B73" s="14" t="str">
        <x:v>ORIGINAL</x:v>
      </x:c>
      <x:c r="C73" s="14" t="str">
        <x:v>Физическая подготовка</x:v>
      </x:c>
      <x:c r="D73" s="14" t="str">
        <x:v>Нет</x:v>
      </x:c>
      <x:c r="E73" s="14" t="str">
        <x:v>Физическая культура</x:v>
      </x:c>
      <x:c r="F73" s="14" t="str">
        <x:v>Деятельность и процессы</x:v>
      </x:c>
      <x:c r="G73" s="14" t="str">
        <x:v>Физическая культура</x:v>
      </x:c>
      <x:c r="H73" s="14" t="str">
        <x:v>Is-A</x:v>
      </x:c>
      <x:c r="I73" s="14" t="str">
        <x:v>Узкий деятельностный процесс развития физических качеств.</x:v>
      </x:c>
      <x:c r="J73" s="14" t="str"/>
      <x:c r="K73" s="14" t="str">
        <x:v>MOVE</x:v>
      </x:c>
      <x:c r="L73" s="14" t="str">
        <x:f>IF(OR(K73="EXTERNAL",K73="REMOVE",K73="REVIEW"),"Нет","Да")</x:f>
        <x:v>Да</x:v>
      </x:c>
      <x:c r="M73" s="14" t="str">
        <x:v>Деятельность и процессы</x:v>
      </x:c>
      <x:c r="N73" s="14" t="str">
        <x:v>Is-A</x:v>
      </x:c>
      <x:c r="O73" s="14" t="str">
        <x:v>Process</x:v>
      </x:c>
      <x:c r="P73" s="14" t="str">
        <x:v>Развитие физических качеств</x:v>
      </x:c>
      <x:c r="Q73" s="14" t="str">
        <x:v>MODEL: термин отсутствует в проекте руководителя, но нужен как базовый процесс</x:v>
      </x:c>
      <x:c r="R73" s="14" t="str">
        <x:v>Средняя</x:v>
      </x:c>
      <x:c r="S73" s="14" t="str">
        <x:v>Сохраняем как самостоятельный процесс.</x:v>
      </x:c>
    </x:row>
    <x:row r="74">
      <x:c r="A74" s="14" t="str">
        <x:v>O-63</x:v>
      </x:c>
      <x:c r="B74" s="14" t="str">
        <x:v>ORIGINAL</x:v>
      </x:c>
      <x:c r="C74" s="14" t="str">
        <x:v>Физическая реабилитация</x:v>
      </x:c>
      <x:c r="D74" s="14" t="str">
        <x:v>Да</x:v>
      </x:c>
      <x:c r="E74" s="14" t="str">
        <x:v>Физическая культура</x:v>
      </x:c>
      <x:c r="F74" s="14" t="str">
        <x:v>Деятельность и процессы</x:v>
      </x:c>
      <x:c r="G74" s="14" t="str">
        <x:v>Физическая культура</x:v>
      </x:c>
      <x:c r="H74" s="14" t="str">
        <x:v>Is-A</x:v>
      </x:c>
      <x:c r="I74" s="14" t="str">
        <x:v>Определение увязано с адаптивным спортом и инвалидами.</x:v>
      </x:c>
      <x:c r="J74" s="14" t="str">
        <x:v>вид деятельности, целью которой является восстановление (в том числе коррекция и компенсация) нарушенных или временно утраченных функций организма человека и способностей к общественной и профессиональной деятельности инвалидов и лиц с ограниченными возможностями здоровья с использованием средств и методов адаптивной физической культуры и адаптивного спорта, которые направлены на устранение или возможно более полную компенсацию ограничений жизнедеятельности, вызванных нарушением здоровья;</x:v>
      </x:c>
      <x:c r="K74" s="14" t="str">
        <x:v>REDEFINE</x:v>
      </x:c>
      <x:c r="L74" s="14" t="str">
        <x:f>IF(OR(K74="EXTERNAL",K74="REMOVE",K74="REVIEW"),"Нет","Да")</x:f>
        <x:v>Да</x:v>
      </x:c>
      <x:c r="M74" s="14" t="str">
        <x:v>Деятельность и процессы</x:v>
      </x:c>
      <x:c r="N74" s="14" t="str">
        <x:v>Is-A</x:v>
      </x:c>
      <x:c r="O74" s="14" t="str">
        <x:v>Process</x:v>
      </x:c>
      <x:c r="P74" s="14" t="str">
        <x:v>Восстановление функций</x:v>
      </x:c>
      <x:c r="Q74" s="14" t="str">
        <x:v>Проект руководителя + MODEL: категориальная нормализация</x:v>
      </x:c>
      <x:c r="R74" s="14" t="str">
        <x:v>Высокая</x:v>
      </x:c>
      <x:c r="S74" s="14" t="str">
        <x:v>Реабилитационный процесс.</x:v>
      </x:c>
    </x:row>
    <x:row r="75">
      <x:c r="A75" s="14" t="str">
        <x:v>O-64</x:v>
      </x:c>
      <x:c r="B75" s="14" t="str">
        <x:v>ORIGINAL</x:v>
      </x:c>
      <x:c r="C75" s="14" t="str">
        <x:v>Физкультурные мероприятия</x:v>
      </x:c>
      <x:c r="D75" s="14" t="str">
        <x:v>Да</x:v>
      </x:c>
      <x:c r="E75" s="14" t="str">
        <x:v>Физическая культура</x:v>
      </x:c>
      <x:c r="F75" s="14" t="str">
        <x:v>Мероприятия и события</x:v>
      </x:c>
      <x:c r="G75" s="14" t="str">
        <x:v>Физическая культура</x:v>
      </x:c>
      <x:c r="H75" s="14" t="str">
        <x:v>Is-A</x:v>
      </x:c>
      <x:c r="I75" s="14" t="str">
        <x:v>Организованные занятия граждан физической культурой.</x:v>
      </x:c>
      <x:c r="J75" s="14" t="str">
        <x:v>организованные занятия граждан физической культурой;</x:v>
      </x:c>
      <x:c r="K75" s="14" t="str">
        <x:v>MOVE</x:v>
      </x:c>
      <x:c r="L75" s="14" t="str">
        <x:f>IF(OR(K75="EXTERNAL",K75="REMOVE",K75="REVIEW"),"Нет","Да")</x:f>
        <x:v>Да</x:v>
      </x:c>
      <x:c r="M75" s="14" t="str">
        <x:v>Мероприятия</x:v>
      </x:c>
      <x:c r="N75" s="14" t="str">
        <x:v>Is-A</x:v>
      </x:c>
      <x:c r="O75" s="14" t="str">
        <x:v>Event</x:v>
      </x:c>
      <x:c r="P75" s="14" t="str">
        <x:v>Организованные занятия физической культурой</x:v>
      </x:c>
      <x:c r="Q75" s="14" t="str">
        <x:v>Проект руководителя + MODEL: категориальная нормализация</x:v>
      </x:c>
      <x:c r="R75" s="14" t="str">
        <x:v>Высокая</x:v>
      </x:c>
      <x:c r="S75" s="14" t="str">
        <x:v>Событийная категория физической культуры.</x:v>
      </x:c>
    </x:row>
    <x:row r="76">
      <x:c r="A76" s="14" t="str">
        <x:v>O-65</x:v>
      </x:c>
      <x:c r="B76" s="14" t="str">
        <x:v>ORIGINAL</x:v>
      </x:c>
      <x:c r="C76" s="14" t="str">
        <x:v>Физкультурно-оздоровительная услуга</x:v>
      </x:c>
      <x:c r="D76" s="14" t="str">
        <x:v>Да</x:v>
      </x:c>
      <x:c r="E76" s="14" t="str">
        <x:v>Физическая культура</x:v>
      </x:c>
      <x:c r="F76" s="14" t="str">
        <x:v>Деятельность и процессы</x:v>
      </x:c>
      <x:c r="G76" s="14" t="str">
        <x:v>Физическая культура</x:v>
      </x:c>
      <x:c r="H76" s="14" t="str">
        <x:v>Is-A</x:v>
      </x:c>
      <x:c r="I76" s="14" t="str">
        <x:v>Экономическая категория, введенная в понятийный аппарат.</x:v>
      </x:c>
      <x:c r="J76" s="14" t="str">
        <x:v>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сохранении и укреплении здоровья, физической подготовке и физическом развитии, включающая в себя в том числе проведение физкультурных мероприятий;</x:v>
      </x:c>
      <x:c r="K76" s="14" t="str">
        <x:v>MOVE</x:v>
      </x:c>
      <x:c r="L76" s="14" t="str">
        <x:f>IF(OR(K76="EXTERNAL",K76="REMOVE",K76="REVIEW"),"Нет","Да")</x:f>
        <x:v>Да</x:v>
      </x:c>
      <x:c r="M76" s="14" t="str">
        <x:v>Деятельность и процессы</x:v>
      </x:c>
      <x:c r="N76" s="14" t="str">
        <x:v>Is-A</x:v>
      </x:c>
      <x:c r="O76" s="14" t="str">
        <x:v>Service</x:v>
      </x:c>
      <x:c r="P76" s="14" t="str">
        <x:v>Оказание услуги для здоровья и развития</x:v>
      </x:c>
      <x:c r="Q76" s="14" t="str">
        <x:v>Проект руководителя + MODEL: категориальная нормализация</x:v>
      </x:c>
      <x:c r="R76" s="14" t="str">
        <x:v>Высокая</x:v>
      </x:c>
      <x:c r="S76" s="14" t="str">
        <x:v>Сервисная деятельность, связанная с физической культурой.</x:v>
      </x:c>
    </x:row>
    <x:row r="77">
      <x:c r="A77" s="14" t="str">
        <x:v>O-66</x:v>
      </x:c>
      <x:c r="B77" s="14" t="str">
        <x:v>ORIGINAL</x:v>
      </x:c>
      <x:c r="C77" s="14" t="str">
        <x:v>Физкультурно-спортивная организация</x:v>
      </x:c>
      <x:c r="D77" s="14" t="str">
        <x:v>Да</x:v>
      </x:c>
      <x:c r="E77" s="14" t="str">
        <x:v>Физическая культура</x:v>
      </x:c>
      <x:c r="F77" s="14" t="str">
        <x:v>Субъекты</x:v>
      </x:c>
      <x:c r="G77" s="14" t="str">
        <x:v>Организации и объединения</x:v>
      </x:c>
      <x:c r="H77" s="14" t="str">
        <x:v>Root</x:v>
      </x:c>
      <x:c r="I77" s="14" t="str">
        <x:v>Родовой класс для всех организаций в сфере ФКиС.</x:v>
      </x:c>
      <x:c r="J77" s="14" t="str">
        <x:v>юридическое лицо независимо от его организационно-правовой формы, осуществляющее деятельность в области физической культуры и спорта в качестве основного вида деятельности, в том числе имеющее право на оказание физкультурно-оздоровительных услуг. Положения настоящего Федерального закона, регулирующие деятельность физкультурно-спортивных организаций, применяются соответственно к индивидуальным предпринимателям, осуществляющим деятельность в области физической культуры и спорта в качестве основного вида деятельности, в том числе оказывающим физкультурно-оздоровительные услуги;</x:v>
      </x:c>
      <x:c r="K77" s="14" t="str">
        <x:v>MOVE</x:v>
      </x:c>
      <x:c r="L77" s="14" t="str">
        <x:f>IF(OR(K77="EXTERNAL",K77="REMOVE",K77="REVIEW"),"Нет","Да")</x:f>
        <x:v>Да</x:v>
      </x:c>
      <x:c r="M77" s="14" t="str">
        <x:v>Организации</x:v>
      </x:c>
      <x:c r="N77" s="14" t="str">
        <x:v>Is-A</x:v>
      </x:c>
      <x:c r="O77" s="14" t="str">
        <x:v>Organization</x:v>
      </x:c>
      <x:c r="P77" s="14" t="str">
        <x:v>Основной вид деятельности в ФКиС</x:v>
      </x:c>
      <x:c r="Q77" s="14" t="str">
        <x:v>Проект руководителя + MODEL: восстановление родового класса</x:v>
      </x:c>
      <x:c r="R77" s="14" t="str">
        <x:v>Высокая</x:v>
      </x:c>
      <x:c r="S77" s="14" t="str">
        <x:v>Базовый организационный узел.</x:v>
      </x:c>
    </x:row>
    <x:row r="78">
      <x:c r="A78" s="14" t="str">
        <x:v>O-67</x:v>
      </x:c>
      <x:c r="B78" s="14" t="str">
        <x:v>ORIGINAL</x:v>
      </x:c>
      <x:c r="C78" s="14" t="str">
        <x:v>Школьный спорт</x:v>
      </x:c>
      <x:c r="D78" s="14" t="str">
        <x:v>Да</x:v>
      </x:c>
      <x:c r="E78" s="14" t="str">
        <x:v>Спорт</x:v>
      </x:c>
      <x:c r="F78" s="14" t="str">
        <x:v>Сферы и виды спорта</x:v>
      </x:c>
      <x:c r="G78" s="14" t="str">
        <x:v>Детско-юношеский спорт</x:v>
      </x:c>
      <x:c r="H78" s="14" t="str">
        <x:v>Is-A</x:v>
      </x:c>
      <x:c r="I78" s="14" t="str">
        <x:v>Двойное вложение: часть детско-юношеского спорта.</x:v>
      </x:c>
      <x:c r="J78" s="14" t="str">
        <x:v>форма организации общественных отношений, направленная на физическое воспитание и спортивную подготовку лиц обучающихся в общеобразовательных организациях,</x:v>
      </x:c>
      <x:c r="K78" s="14" t="str">
        <x:v>REDEFINE</x:v>
      </x:c>
      <x:c r="L78" s="14" t="str">
        <x:f>IF(OR(K78="EXTERNAL",K78="REMOVE",K78="REVIEW"),"Нет","Да")</x:f>
        <x:v>Да</x:v>
      </x:c>
      <x:c r="M78" s="14" t="str">
        <x:v>Формы спорта</x:v>
      </x:c>
      <x:c r="N78" s="14" t="str">
        <x:v>Is-A</x:v>
      </x:c>
      <x:c r="O78" s="14" t="str">
        <x:v>SportForm</x:v>
      </x:c>
      <x:c r="P78" s="14" t="str">
        <x:v>Институциональный контекст: школа</x:v>
      </x:c>
      <x:c r="Q78" s="14" t="str">
        <x:v>Проект руководителя + MODEL: фасетная классификация</x:v>
      </x:c>
      <x:c r="R78" s="14" t="str">
        <x:v>Высокая</x:v>
      </x:c>
      <x:c r="S78" s="14" t="str">
        <x:v>В TO-BE не подчиняется детско-юношескому спорту; школьность — отдельная фасета.</x:v>
      </x:c>
    </x:row>
    <x:row r="79">
      <x:c r="A79" s="14" t="str">
        <x:v>O-68</x:v>
      </x:c>
      <x:c r="B79" s="14" t="str">
        <x:v>ORIGINAL</x:v>
      </x:c>
      <x:c r="C79" s="14" t="str">
        <x:v>Школьная спортивная лига</x:v>
      </x:c>
      <x:c r="D79" s="14" t="str">
        <x:v>Нет</x:v>
      </x:c>
      <x:c r="E79" s="14" t="str">
        <x:v>Спорт</x:v>
      </x:c>
      <x:c r="F79" s="14" t="str">
        <x:v>Субъекты</x:v>
      </x:c>
      <x:c r="G79" s="14" t="str">
        <x:v>Организации и объединения</x:v>
      </x:c>
      <x:c r="H79" s="14" t="str">
        <x:v>Is-A</x:v>
      </x:c>
      <x:c r="I79" s="14" t="str">
        <x:v>НКО, создаваемое школьными спортивными клубами.</x:v>
      </x:c>
      <x:c r="J79" s="14" t="str"/>
      <x:c r="K79" s="14" t="str">
        <x:v>EXTERNAL</x:v>
      </x:c>
      <x:c r="L79" s="14" t="str">
        <x:f>IF(OR(K79="EXTERNAL",K79="REMOVE",K79="REVIEW"),"Нет","Да")</x:f>
        <x:v>Нет</x:v>
      </x:c>
      <x:c r="M79" s="14" t="str"/>
      <x:c r="N79" s="14" t="str"/>
      <x:c r="O79" s="14" t="str"/>
      <x:c r="P79" s="14" t="str">
        <x:v>Статус НКО / Школы</x:v>
      </x:c>
      <x:c r="Q79" s="14" t="str">
        <x:v>MODEL: решение о границе ядра v0.1; термин отсутствует в проекте руководителя</x:v>
      </x:c>
      <x:c r="R79" s="14" t="str">
        <x:v>Средняя</x:v>
      </x:c>
      <x:c r="S79" s="14" t="str">
        <x:v>Специализированная организационная форма.</x:v>
      </x:c>
    </x:row>
    <x:row r="80">
      <x:c r="A80" s="14" t="str">
        <x:v>O-69</x:v>
      </x:c>
      <x:c r="B80" s="14" t="str">
        <x:v>ORIGINAL</x:v>
      </x:c>
      <x:c r="C80" s="14" t="str">
        <x:v>Целевая комплексная программа подготовки спортсменов</x:v>
      </x:c>
      <x:c r="D80" s="14" t="str">
        <x:v>Нет</x:v>
      </x:c>
      <x:c r="E80" s="14" t="str">
        <x:v>Спорт</x:v>
      </x:c>
      <x:c r="F80" s="14" t="str">
        <x:v>Инфраструктура и Нормы</x:v>
      </x:c>
      <x:c r="G80" s="14" t="str">
        <x:v>Программа развития вида спорта</x:v>
      </x:c>
      <x:c r="H80" s="14" t="str">
        <x:v>Part-Of</x:v>
      </x:c>
      <x:c r="I80" s="14" t="str">
        <x:v>Составная часть программы развития вида спорта (п. 10.1).</x:v>
      </x:c>
      <x:c r="J80" s="14" t="str"/>
      <x:c r="K80" s="14" t="str">
        <x:v>EXTERNAL</x:v>
      </x:c>
      <x:c r="L80" s="14" t="str">
        <x:f>IF(OR(K80="EXTERNAL",K80="REMOVE",K80="REVIEW"),"Нет","Да")</x:f>
        <x:v>Нет</x:v>
      </x:c>
      <x:c r="M80" s="14" t="str"/>
      <x:c r="N80" s="14" t="str"/>
      <x:c r="O80" s="14" t="str"/>
      <x:c r="P80" s="14" t="str">
        <x:v>Подготовка к Играм</x:v>
      </x:c>
      <x:c r="Q80" s="14" t="str">
        <x:v>MODEL: решение о границе ядра v0.1; термин отсутствует в проекте руководителя</x:v>
      </x:c>
      <x:c r="R80" s="14" t="str">
        <x:v>Средняя</x:v>
      </x:c>
      <x:c r="S80" s="14" t="str">
        <x:v>Частный программный документ; выносим из ядра.</x:v>
      </x:c>
    </x:row>
    <x:row r="81">
      <x:c r="A81" s="14" t="str">
        <x:v>N-01</x:v>
      </x:c>
      <x:c r="B81" s="14" t="str">
        <x:v>SUPERVISOR_ADD</x:v>
      </x:c>
      <x:c r="C81" s="14" t="str">
        <x:v>Правила соревнований по виду спорта</x:v>
      </x:c>
      <x:c r="D81" s="14" t="str">
        <x:v>Да</x:v>
      </x:c>
      <x:c r="E81" s="14" t="str"/>
      <x:c r="F81" s="14" t="str"/>
      <x:c r="G81" s="14" t="str"/>
      <x:c r="H81" s="14" t="str"/>
      <x:c r="I81" s="14" t="str"/>
      <x:c r="J81" s="14" t="str">
        <x:v>это официальный документ, утвержденный в установленном настоящим Федеральным законом порядке, в котором изложены условия и порядок проведения соревнований по данному виду спорта, права и обязанности участников, организаторов, судей.</x:v>
      </x:c>
      <x:c r="K81" s="14" t="str">
        <x:v>ADD</x:v>
      </x:c>
      <x:c r="L81" s="14" t="str">
        <x:f>IF(OR(K81="EXTERNAL",K81="REMOVE",K81="REVIEW"),"Нет","Да")</x:f>
        <x:v>Да</x:v>
      </x:c>
      <x:c r="M81" s="14" t="str">
        <x:v>Нормы и документы</x:v>
      </x:c>
      <x:c r="N81" s="14" t="str">
        <x:v>Is-A</x:v>
      </x:c>
      <x:c r="O81" s="14" t="str">
        <x:v>NormDocument</x:v>
      </x:c>
      <x:c r="P81" s="14" t="str">
        <x:v>Регулирование спортивного соревнования</x:v>
      </x:c>
      <x:c r="Q81" s="14" t="str">
        <x:v>Проект руководителя: новый термин</x:v>
      </x:c>
      <x:c r="R81" s="14" t="str">
        <x:v>Высокая</x:v>
      </x:c>
      <x:c r="S81" s="14" t="str">
        <x:v>Добавляется как самостоятельный нормативный документ.</x:v>
      </x:c>
    </x:row>
    <x:row r="82">
      <x:c r="A82" s="14" t="str">
        <x:v>N-02</x:v>
      </x:c>
      <x:c r="B82" s="14" t="str">
        <x:v>SUPERVISOR_ADD</x:v>
      </x:c>
      <x:c r="C82" s="14" t="str">
        <x:v>Профессиональный спортсмен</x:v>
      </x:c>
      <x:c r="D82" s="14" t="str">
        <x:v>Да</x:v>
      </x:c>
      <x:c r="E82" s="14" t="str"/>
      <x:c r="F82" s="14" t="str"/>
      <x:c r="G82" s="14" t="str"/>
      <x:c r="H82" s="14" t="str"/>
      <x:c r="I82" s="14" t="str"/>
      <x:c r="J82" s="14" t="str">
        <x:v>спортсмен, для которого занятия спортом являются основным видом деятельности направленной на систематическое получение дохода и который получает в соответствии с трудовым договором заработную плату и (или) иное денежное вознаграждение за подготовку к спортивным соревнованиям и участие в них.</x:v>
      </x:c>
      <x:c r="K82" s="14" t="str">
        <x:v>ADD</x:v>
      </x:c>
      <x:c r="L82" s="14" t="str">
        <x:f>IF(OR(K82="EXTERNAL",K82="REMOVE",K82="REVIEW"),"Нет","Да")</x:f>
        <x:v>Да</x:v>
      </x:c>
      <x:c r="M82" s="14" t="str">
        <x:v>Спортсмен</x:v>
      </x:c>
      <x:c r="N82" s="14" t="str">
        <x:v>Is-A</x:v>
      </x:c>
      <x:c r="O82" s="14" t="str">
        <x:v>PersonRole</x:v>
      </x:c>
      <x:c r="P82" s="14" t="str">
        <x:v>Экономический режим: профессиональный</x:v>
      </x:c>
      <x:c r="Q82" s="14" t="str">
        <x:v>Проект руководителя: новый термин</x:v>
      </x:c>
      <x:c r="R82" s="14" t="str">
        <x:v>Высокая</x:v>
      </x:c>
      <x:c r="S82" s="14" t="str">
        <x:v>Добавляется как подтип спортсмена.</x:v>
      </x:c>
    </x:row>
    <x:row r="83">
      <x:c r="A83" s="14" t="str">
        <x:v>N-03</x:v>
      </x:c>
      <x:c r="B83" s="14" t="str">
        <x:v>SUPERVISOR_ADD</x:v>
      </x:c>
      <x:c r="C83" s="14" t="str">
        <x:v>Учебно-тренировочное мероприятие</x:v>
      </x:c>
      <x:c r="D83" s="14" t="str">
        <x:v>Да</x:v>
      </x:c>
      <x:c r="E83" s="14" t="str"/>
      <x:c r="F83" s="14" t="str"/>
      <x:c r="G83" s="14" t="str"/>
      <x:c r="H83" s="14" t="str"/>
      <x:c r="I83" s="14" t="str"/>
      <x:c r="J83" s="14" t="str">
        <x:v>педагогически организованный процесс направленный на достижение целей спортивной подготовки</x:v>
      </x:c>
      <x:c r="K83" s="14" t="str">
        <x:v>ADD</x:v>
      </x:c>
      <x:c r="L83" s="14" t="str">
        <x:f>IF(OR(K83="EXTERNAL",K83="REMOVE",K83="REVIEW"),"Нет","Да")</x:f>
        <x:v>Да</x:v>
      </x:c>
      <x:c r="M83" s="14" t="str">
        <x:v>Спортивные мероприятия</x:v>
      </x:c>
      <x:c r="N83" s="14" t="str">
        <x:v>Is-A</x:v>
      </x:c>
      <x:c r="O83" s="14" t="str">
        <x:v>EventProcess</x:v>
      </x:c>
      <x:c r="P83" s="14" t="str">
        <x:v>Цель: спортивная подготовка</x:v>
      </x:c>
      <x:c r="Q83" s="14" t="str">
        <x:v>Проект руководителя: новый термин</x:v>
      </x:c>
      <x:c r="R83" s="14" t="str">
        <x:v>Высокая</x:v>
      </x:c>
      <x:c r="S83" s="14" t="str">
        <x:v>Добавляется как разновидность спортивного мероприятия/организованного процесса подготовки.</x:v>
      </x:c>
    </x:row>
  </x:sheetData>
  <x:conditionalFormatting sqref="B2:B83">
    <x:cfRule type="expression" dxfId="0" priority="1">
      <x:formula>B2="MODEL"</x:formula>
    </x:cfRule>
    <x:cfRule type="expression" dxfId="1" priority="2">
      <x:formula>B2="SUPERVISOR_ADD"</x:formula>
    </x:cfRule>
  </x:conditionalFormatting>
  <x:conditionalFormatting sqref="K2:K83">
    <x:cfRule type="expression" dxfId="2" priority="3">
      <x:formula>K2="KEEP"</x:formula>
    </x:cfRule>
    <x:cfRule type="expression" dxfId="3" priority="4">
      <x:formula>K2="REDEFINE"</x:formula>
    </x:cfRule>
    <x:cfRule type="expression" dxfId="4" priority="5">
      <x:formula>K2="MOVE"</x:formula>
    </x:cfRule>
    <x:cfRule type="expression" dxfId="5" priority="6">
      <x:formula>K2="ADD"</x:formula>
    </x:cfRule>
    <x:cfRule type="expression" dxfId="6" priority="7">
      <x:formula>K2="EXTERNAL"</x:formula>
    </x:cfRule>
    <x:cfRule type="expression" dxfId="7" priority="8">
      <x:formula>K2="REMOVE"</x:formula>
    </x:cfRule>
    <x:cfRule type="expression" dxfId="8" priority="9">
      <x:formula>K2="REVIEW"</x:formula>
    </x:cfRule>
  </x:conditionalFormatting>
  <x:conditionalFormatting sqref="L2:L83">
    <x:cfRule type="expression" dxfId="9" priority="10">
      <x:formula>L2="Да"</x:formula>
    </x:cfRule>
    <x:cfRule type="expression" dxfId="10" priority="11">
      <x:formula>L2="Нет"</x:formula>
    </x:cfRule>
  </x:conditionalFormatting>
  <x:conditionalFormatting sqref="R2:R83">
    <x:cfRule type="expression" dxfId="11" priority="12">
      <x:formula>R2="Высокая"</x:formula>
    </x:cfRule>
    <x:cfRule type="expression" dxfId="12" priority="13">
      <x:formula>R2="Средняя"</x:formula>
    </x:cfRule>
    <x:cfRule type="expression" dxfId="13" priority="14">
      <x:formula>R2="Низкая"</x:formula>
    </x:cfRule>
  </x:conditionalFormatting>
  <x:dataValidations count="4">
    <x:dataValidation type="list" sqref="K2:K83">
      <x:formula1>Справочники!$A$2:$A$9</x:formula1>
    </x:dataValidation>
    <x:dataValidation type="list" sqref="N2:N83">
      <x:formula1>Справочники!$B$2:$B$8</x:formula1>
    </x:dataValidation>
    <x:dataValidation type="list" sqref="O2:O83">
      <x:formula1>Справочники!$C$2:$C$20</x:formula1>
    </x:dataValidation>
    <x:dataValidation type="list" sqref="R2:R83">
      <x:formula1>Справочники!$D$2:$D$4</x:formula1>
    </x:dataValidation>
  </x:dataValidations>
  <x:pageMargins left="0.7" right="0.7" top="0.75" bottom="0.75" header="0.3" footer="0.3"/>
  <x:tableParts count="1">
    <x:tablePart xmlns:r="http://schemas.openxmlformats.org/officeDocument/2006/relationships" r:id="R1356b4da4a934729"/>
  </x:tableParts>
</x:worksheet>
</file>

<file path=xl/worksheets/sheet3.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6" hidden="0" customWidth="1"/>
    <x:col min="5" max="5" width="58" hidden="0" customWidth="1"/>
    <x:col min="6" max="6" width="14" hidden="0" customWidth="1"/>
    <x:col min="7" max="7" width="12" hidden="0" customWidth="1"/>
  </x:cols>
  <x:sheetData>
    <x:row r="1" ht="32" customHeight="1">
      <x:c r="A1" s="20" t="str">
        <x:v>Источник</x:v>
      </x:c>
      <x:c r="B1" s="20" t="str">
        <x:v>Цель</x:v>
      </x:c>
      <x:c r="C1" s="20" t="str">
        <x:v>Связь</x:v>
      </x:c>
      <x:c r="D1" s="20" t="str">
        <x:v>Тип связи</x:v>
      </x:c>
      <x:c r="E1" s="20" t="str">
        <x:v>Основание</x:v>
      </x:c>
      <x:c r="F1" s="20" t="str">
        <x:v>Уверенность</x:v>
      </x:c>
      <x:c r="G1" s="20" t="str">
        <x:v>Включать?</x:v>
      </x:c>
    </x:row>
    <x:row r="2">
      <x:c r="A2" s="14" t="str">
        <x:v>Общероссийская спортивная федерация</x:v>
      </x:c>
      <x:c r="B2" s="14" t="str">
        <x:v>Спортивные сборные команды РФ</x:v>
      </x:c>
      <x:c r="C2" s="14" t="str">
        <x:v>Forms</x:v>
      </x:c>
      <x:c r="D2" s="14" t="str">
        <x:v>Functional</x:v>
      </x:c>
      <x:c r="E2" s="14" t="str">
        <x:v>Проект руководителя: сборные РФ формируются общероссийскими федерациями</x:v>
      </x:c>
      <x:c r="F2" s="14" t="str">
        <x:v>Высокая</x:v>
      </x:c>
      <x:c r="G2" s="14" t="str">
        <x:v>Да</x:v>
      </x:c>
    </x:row>
    <x:row r="3">
      <x:c r="A3" s="14" t="str">
        <x:v>Региональная спортивная федерация</x:v>
      </x:c>
      <x:c r="B3" s="14" t="str">
        <x:v>Спортивные сборные команды субъектов РФ</x:v>
      </x:c>
      <x:c r="C3" s="14" t="str">
        <x:v>Forms</x:v>
      </x:c>
      <x:c r="D3" s="14" t="str">
        <x:v>Functional</x:v>
      </x:c>
      <x:c r="E3" s="14" t="str">
        <x:v>Проект руководителя: сборные субъектов формируются региональными федерациями</x:v>
      </x:c>
      <x:c r="F3" s="14" t="str">
        <x:v>Высокая</x:v>
      </x:c>
      <x:c r="G3" s="14" t="str">
        <x:v>Да</x:v>
      </x:c>
    </x:row>
    <x:row r="4">
      <x:c r="A4" s="14" t="str">
        <x:v>Организатор спортивного соревнования</x:v>
      </x:c>
      <x:c r="B4" s="14" t="str">
        <x:v>Спортивное соревнование</x:v>
      </x:c>
      <x:c r="C4" s="14" t="str">
        <x:v>Organizes</x:v>
      </x:c>
      <x:c r="D4" s="14" t="str">
        <x:v>Functional</x:v>
      </x:c>
      <x:c r="E4" s="14" t="str">
        <x:v>Проект руководителя: организатор инициирует/обеспечивает проведение соревнования</x:v>
      </x:c>
      <x:c r="F4" s="14" t="str">
        <x:v>Высокая</x:v>
      </x:c>
      <x:c r="G4" s="14" t="str">
        <x:v>Да</x:v>
      </x:c>
    </x:row>
    <x:row r="5">
      <x:c r="A5" s="14" t="str">
        <x:v>Организатор физкультурного мероприятия</x:v>
      </x:c>
      <x:c r="B5" s="14" t="str">
        <x:v>Физкультурные мероприятия</x:v>
      </x:c>
      <x:c r="C5" s="14" t="str">
        <x:v>Organizes</x:v>
      </x:c>
      <x:c r="D5" s="14" t="str">
        <x:v>Functional</x:v>
      </x:c>
      <x:c r="E5" s="14" t="str">
        <x:v>Проект руководителя: организатор инициирует/обеспечивает проведение мероприятия</x:v>
      </x:c>
      <x:c r="F5" s="14" t="str">
        <x:v>Высокая</x:v>
      </x:c>
      <x:c r="G5" s="14" t="str">
        <x:v>Да</x:v>
      </x:c>
    </x:row>
    <x:row r="6">
      <x:c r="A6" s="14" t="str">
        <x:v>Правила соревнований по виду спорта</x:v>
      </x:c>
      <x:c r="B6" s="14" t="str">
        <x:v>Спортивное соревнование</x:v>
      </x:c>
      <x:c r="C6" s="14" t="str">
        <x:v>Regulates</x:v>
      </x:c>
      <x:c r="D6" s="14" t="str">
        <x:v>Normative</x:v>
      </x:c>
      <x:c r="E6" s="14" t="str">
        <x:v>Проект руководителя: правила задают условия и порядок проведения соревнований</x:v>
      </x:c>
      <x:c r="F6" s="14" t="str">
        <x:v>Высокая</x:v>
      </x:c>
      <x:c r="G6" s="14" t="str">
        <x:v>Да</x:v>
      </x:c>
    </x:row>
    <x:row r="7">
      <x:c r="A7" s="14" t="str">
        <x:v>Федеральные стандарты спортивной подготовки</x:v>
      </x:c>
      <x:c r="B7" s="14" t="str">
        <x:v>Спортивная подготовка</x:v>
      </x:c>
      <x:c r="C7" s="14" t="str">
        <x:v>Regulates</x:v>
      </x:c>
      <x:c r="D7" s="14" t="str">
        <x:v>Normative</x:v>
      </x:c>
      <x:c r="E7" s="14" t="str">
        <x:v>Проект руководителя: стандарты содержат минимальные требования к спортивной подготовке</x:v>
      </x:c>
      <x:c r="F7" s="14" t="str">
        <x:v>Высокая</x:v>
      </x:c>
      <x:c r="G7" s="14" t="str">
        <x:v>Да</x:v>
      </x:c>
    </x:row>
    <x:row r="8">
      <x:c r="A8" s="14" t="str">
        <x:v>Физкультурно-спортивная организация</x:v>
      </x:c>
      <x:c r="B8" s="14" t="str">
        <x:v>Физкультурно-оздоровительная услуга</x:v>
      </x:c>
      <x:c r="C8" s="14" t="str">
        <x:v>Provides</x:v>
      </x:c>
      <x:c r="D8" s="14" t="str">
        <x:v>Functional</x:v>
      </x:c>
      <x:c r="E8" s="14" t="str">
        <x:v>Проект руководителя: организация осуществляет/может оказывать физкультурно-оздоровительные услуги</x:v>
      </x:c>
      <x:c r="F8" s="14" t="str">
        <x:v>Высокая</x:v>
      </x:c>
      <x:c r="G8" s="14" t="str">
        <x:v>Да</x:v>
      </x:c>
    </x:row>
    <x:row r="9">
      <x:c r="A9" s="14" t="str">
        <x:v>Спортсмен</x:v>
      </x:c>
      <x:c r="B9" s="14" t="str">
        <x:v>Спортивное соревнование</x:v>
      </x:c>
      <x:c r="C9" s="14" t="str">
        <x:v>Participates-In</x:v>
      </x:c>
      <x:c r="D9" s="14" t="str">
        <x:v>Functional</x:v>
      </x:c>
      <x:c r="E9" s="14" t="str">
        <x:v>Проект руководителя: спортсмен выступает на соревнованиях</x:v>
      </x:c>
      <x:c r="F9" s="14" t="str">
        <x:v>Высокая</x:v>
      </x:c>
      <x:c r="G9" s="14" t="str">
        <x:v>Да</x:v>
      </x:c>
    </x:row>
    <x:row r="10">
      <x:c r="A10" s="14" t="str">
        <x:v>Спортивный судья</x:v>
      </x:c>
      <x:c r="B10" s="14" t="str">
        <x:v>Спортивное соревнование</x:v>
      </x:c>
      <x:c r="C10" s="14" t="str">
        <x:v>Officiates-At</x:v>
      </x:c>
      <x:c r="D10" s="14" t="str">
        <x:v>Functional</x:v>
      </x:c>
      <x:c r="E10" s="14" t="str">
        <x:v>Проект руководителя: судья обеспечивает соблюдение правил на соревновании</x:v>
      </x:c>
      <x:c r="F10" s="14" t="str">
        <x:v>Высокая</x:v>
      </x:c>
      <x:c r="G10" s="14" t="str">
        <x:v>Да</x:v>
      </x:c>
    </x:row>
    <x:row r="11">
      <x:c r="A11" s="14" t="str">
        <x:v>Тренер-преподаватель (тренер)</x:v>
      </x:c>
      <x:c r="B11" s="14" t="str">
        <x:v>Спортивная подготовка</x:v>
      </x:c>
      <x:c r="C11" s="14" t="str">
        <x:v>Conducts</x:v>
      </x:c>
      <x:c r="D11" s="14" t="str">
        <x:v>Functional</x:v>
      </x:c>
      <x:c r="E11" s="14" t="str">
        <x:v>Проект руководителя: тренер организует учебно-тренировочный процесс</x:v>
      </x:c>
      <x:c r="F11" s="14" t="str">
        <x:v>Высокая</x:v>
      </x:c>
      <x:c r="G11" s="14" t="str">
        <x:v>Да</x:v>
      </x:c>
    </x:row>
    <x:row r="12">
      <x:c r="A12" s="14" t="str">
        <x:v>Спортивный резерв</x:v>
      </x:c>
      <x:c r="B12" s="14" t="str">
        <x:v>Спортивная подготовка</x:v>
      </x:c>
      <x:c r="C12" s="14" t="str">
        <x:v>Undergoes</x:v>
      </x:c>
      <x:c r="D12" s="14" t="str">
        <x:v>Functional</x:v>
      </x:c>
      <x:c r="E12" s="14" t="str">
        <x:v>Проект руководителя: спортивный резерв — лица, проходящие спортивную подготовку</x:v>
      </x:c>
      <x:c r="F12" s="14" t="str">
        <x:v>Высокая</x:v>
      </x:c>
      <x:c r="G12" s="14" t="str">
        <x:v>Да</x:v>
      </x:c>
    </x:row>
    <x:row r="13">
      <x:c r="A13" s="14" t="str">
        <x:v>Официальные физкультурные и спортивные мероприятия</x:v>
      </x:c>
      <x:c r="B13" s="14" t="str">
        <x:v>Физкультурные мероприятия</x:v>
      </x:c>
      <x:c r="C13" s="14" t="str">
        <x:v>Official-Status-Of</x:v>
      </x:c>
      <x:c r="D13" s="14" t="str">
        <x:v>Status</x:v>
      </x:c>
      <x:c r="E13" s="14" t="str">
        <x:v>Проект руководителя: официальными являются физкультурные/спортивные мероприятия, включённые в календарные планы</x:v>
      </x:c>
      <x:c r="F13" s="14" t="str">
        <x:v>Средняя</x:v>
      </x:c>
      <x:c r="G13" s="14" t="str">
        <x:v>Да</x:v>
      </x:c>
    </x:row>
    <x:row r="14">
      <x:c r="A14" s="14" t="str">
        <x:v>Официальные физкультурные и спортивные мероприятия</x:v>
      </x:c>
      <x:c r="B14" s="14" t="str">
        <x:v>Спортивные мероприятия</x:v>
      </x:c>
      <x:c r="C14" s="14" t="str">
        <x:v>Official-Status-Of</x:v>
      </x:c>
      <x:c r="D14" s="14" t="str">
        <x:v>Status</x:v>
      </x:c>
      <x:c r="E14" s="14" t="str">
        <x:v>Проект руководителя: официальными являются физкультурные/спортивные мероприятия, включённые в календарные планы</x:v>
      </x:c>
      <x:c r="F14" s="14" t="str">
        <x:v>Средняя</x:v>
      </x:c>
      <x:c r="G14" s="14" t="str">
        <x:v>Да</x:v>
      </x:c>
    </x:row>
  </x:sheetData>
  <x:pageMargins left="0.7" right="0.7" top="0.75" bottom="0.75" header="0.3" footer="0.3"/>
  <x:tableParts count="1">
    <x:tablePart xmlns:r="http://schemas.openxmlformats.org/officeDocument/2006/relationships" r:id="Re255f2643b6b44c7"/>
  </x:tableParts>
</x:worksheet>
</file>

<file path=xl/worksheets/sheet4.xml><?xml version="1.0" encoding="utf-8"?>
<x:worksheet xmlns:x="http://schemas.openxmlformats.org/spreadsheetml/2006/main">
  <x:sheetFormatPr defaultRowHeight="15"/>
  <x:cols>
    <x:col min="1" max="1" width="22" hidden="0" customWidth="1"/>
    <x:col min="2" max="2" width="85" hidden="0" customWidth="1"/>
  </x:cols>
  <x:sheetData>
    <x:row r="1">
      <x:c r="A1" s="40" t="str">
        <x:v>Обозначение</x:v>
      </x:c>
      <x:c r="B1" s="40" t="str">
        <x:v>Смысл</x:v>
      </x:c>
    </x:row>
    <x:row r="2">
      <x:c r="A2" s="14" t="str">
        <x:v>MODEL</x:v>
      </x:c>
      <x:c r="B2" s="14" t="str">
        <x:v>Служебный структурный узел TO-BE. Не является термином статьи и не приписывается руководителю.</x:v>
      </x:c>
    </x:row>
    <x:row r="3">
      <x:c r="A3" s="14" t="str">
        <x:v>SUPERVISOR_ADD</x:v>
      </x:c>
      <x:c r="B3" s="14" t="str">
        <x:v>Новый термин, который присутствует в проекте руководителя, но отсутствует среди исходных 69.</x:v>
      </x:c>
    </x:row>
    <x:row r="4">
      <x:c r="A4" s="14" t="str">
        <x:v>ORIGINAL</x:v>
      </x:c>
      <x:c r="B4" s="14" t="str">
        <x:v>Исходный термин статьи из AS-IS таблицы.</x:v>
      </x:c>
    </x:row>
    <x:row r="5">
      <x:c r="A5" s="14" t="str">
        <x:v>KEEP</x:v>
      </x:c>
      <x:c r="B5" s="14" t="str">
        <x:v>Термин остаётся в ядре без принципиальной перестройки.</x:v>
      </x:c>
    </x:row>
    <x:row r="6">
      <x:c r="A6" s="14" t="str">
        <x:v>REDEFINE</x:v>
      </x:c>
      <x:c r="B6" s="14" t="str">
        <x:v>Термин остаётся, но определение/логика классификации меняется.</x:v>
      </x:c>
    </x:row>
    <x:row r="7">
      <x:c r="A7" s="14" t="str">
        <x:v>MOVE</x:v>
      </x:c>
      <x:c r="B7" s="14" t="str">
        <x:v>Термин остаётся, но переносится в другой родовой/семантический блок.</x:v>
      </x:c>
    </x:row>
    <x:row r="8">
      <x:c r="A8" s="14" t="str">
        <x:v>ADD</x:v>
      </x:c>
      <x:c r="B8" s="14" t="str">
        <x:v>Новый узел TO-BE.</x:v>
      </x:c>
    </x:row>
    <x:row r="9">
      <x:c r="A9" s="14" t="str">
        <x:v>EXTERNAL</x:v>
      </x:c>
      <x:c r="B9" s="14" t="str">
        <x:v>Не включается в ядро TO-BE v0.1, но не объявляется ненужным для закона: переносится в специализированный/технический блок.</x:v>
      </x:c>
    </x:row>
    <x:row r="10">
      <x:c r="A10" s="14" t="str">
        <x:v>REMOVE</x:v>
      </x:c>
      <x:c r="B10" s="14" t="str">
        <x:v>Предлагается удалить из терминосистемы. В v0.1 намеренно почти не используется без отдельного обоснования.</x:v>
      </x:c>
    </x:row>
    <x:row r="11">
      <x:c r="A11" s="14" t="str">
        <x:v>Group</x:v>
      </x:c>
      <x:c r="B11" s="14" t="str">
        <x:v>Служебная связь между модельными группами; не равна юридическому Is-A.</x:v>
      </x:c>
    </x:row>
    <x:row r="12">
      <x:c r="A12" s="14" t="str">
        <x:v>Is-A</x:v>
      </x:c>
      <x:c r="B12" s="14" t="str">
        <x:v>Родо-видовая связь.</x:v>
      </x:c>
    </x:row>
    <x:row r="13">
      <x:c r="A13" s="14" t="str">
        <x:v>Part-Of</x:v>
      </x:c>
      <x:c r="B13" s="14" t="str">
        <x:v>Партитивная связь «часть — целое».</x:v>
      </x:c>
    </x:row>
    <x:row r="14">
      <x:c r="A14" s="14" t="str">
        <x:v>Role</x:v>
      </x:c>
      <x:c r="B14" s="14" t="str">
        <x:v>Ролевая принадлежность субъекта.</x:v>
      </x:c>
    </x:row>
    <x:row r="15">
      <x:c r="A15" s="14" t="str">
        <x:v>Доп_связи</x:v>
      </x:c>
      <x:c r="B15" s="14" t="str">
        <x:v>Вторичные функциональные/нормативные отношения, которые нельзя корректно выразить единственным родителем.</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28" t="str">
        <x:v>TO-BE действие</x:v>
      </x:c>
      <x:c r="B1" s="28" t="str">
        <x:v>TO-BE связь</x:v>
      </x:c>
      <x:c r="C1" s="28" t="str">
        <x:v>Семантический тип</x:v>
      </x:c>
      <x:c r="D1" s="28" t="str">
        <x:v>Уверенность</x:v>
      </x:c>
      <x:c r="E1" s="28" t="str">
        <x:v>Тип узла</x:v>
      </x:c>
    </x:row>
    <x:row r="2">
      <x:c r="A2" t="str">
        <x:v>KEEP</x:v>
      </x:c>
      <x:c r="B2" t="str">
        <x:v>Root</x:v>
      </x:c>
      <x:c r="C2" t="str">
        <x:v>Domain</x:v>
      </x:c>
      <x:c r="D2" t="str">
        <x:v>Высокая</x:v>
      </x:c>
      <x:c r="E2" t="str">
        <x:v>MODEL</x:v>
      </x:c>
    </x:row>
    <x:row r="3">
      <x:c r="A3" t="str">
        <x:v>REDEFINE</x:v>
      </x:c>
      <x:c r="B3" t="str">
        <x:v>Group</x:v>
      </x:c>
      <x:c r="C3" t="str">
        <x:v>ModelCategory</x:v>
      </x:c>
      <x:c r="D3" t="str">
        <x:v>Средняя</x:v>
      </x:c>
      <x:c r="E3" t="str">
        <x:v>ORIGINAL</x:v>
      </x:c>
    </x:row>
    <x:row r="4">
      <x:c r="A4" t="str">
        <x:v>MOVE</x:v>
      </x:c>
      <x:c r="B4" t="str">
        <x:v>Is-A</x:v>
      </x:c>
      <x:c r="C4" t="str">
        <x:v>SportType</x:v>
      </x:c>
      <x:c r="D4" t="str">
        <x:v>Низкая</x:v>
      </x:c>
      <x:c r="E4" t="str">
        <x:v>SUPERVISOR_ADD</x:v>
      </x:c>
    </x:row>
    <x:row r="5">
      <x:c r="A5" t="str">
        <x:v>ADD</x:v>
      </x:c>
      <x:c r="B5" t="str">
        <x:v>Part-Of</x:v>
      </x:c>
      <x:c r="C5" t="str">
        <x:v>SportForm</x:v>
      </x:c>
    </x:row>
    <x:row r="6">
      <x:c r="A6" t="str">
        <x:v>RENAME</x:v>
      </x:c>
      <x:c r="B6" t="str">
        <x:v>Role</x:v>
      </x:c>
      <x:c r="C6" t="str">
        <x:v>SportDiscipline</x:v>
      </x:c>
    </x:row>
    <x:row r="7">
      <x:c r="A7" t="str">
        <x:v>EXTERNAL</x:v>
      </x:c>
      <x:c r="B7" t="str">
        <x:v>Attribute</x:v>
      </x:c>
      <x:c r="C7" t="str">
        <x:v>PersonRole</x:v>
      </x:c>
    </x:row>
    <x:row r="8">
      <x:c r="A8" t="str">
        <x:v>REMOVE</x:v>
      </x:c>
      <x:c r="B8" t="str">
        <x:v>Related-To</x:v>
      </x:c>
      <x:c r="C8" t="str">
        <x:v>PersonCategory</x:v>
      </x:c>
    </x:row>
    <x:row r="9">
      <x:c r="A9" t="str">
        <x:v>REVIEW</x:v>
      </x:c>
      <x:c r="C9" t="str">
        <x:v>Organization</x:v>
      </x:c>
    </x:row>
    <x:row r="10">
      <x:c r="C10" t="str">
        <x:v>OrganizationRole</x:v>
      </x:c>
    </x:row>
    <x:row r="11">
      <x:c r="C11" t="str">
        <x:v>SubjectRole</x:v>
      </x:c>
    </x:row>
    <x:row r="12">
      <x:c r="C12" t="str">
        <x:v>Collective</x:v>
      </x:c>
    </x:row>
    <x:row r="13">
      <x:c r="C13" t="str">
        <x:v>Process</x:v>
      </x:c>
    </x:row>
    <x:row r="14">
      <x:c r="C14" t="str">
        <x:v>Event</x:v>
      </x:c>
    </x:row>
    <x:row r="15">
      <x:c r="C15" t="str">
        <x:v>EventStatus</x:v>
      </x:c>
    </x:row>
    <x:row r="16">
      <x:c r="C16" t="str">
        <x:v>EventProcess</x:v>
      </x:c>
    </x:row>
    <x:row r="17">
      <x:c r="C17" t="str">
        <x:v>Infrastructure</x:v>
      </x:c>
    </x:row>
    <x:row r="18">
      <x:c r="C18" t="str">
        <x:v>Location</x:v>
      </x:c>
    </x:row>
    <x:row r="19">
      <x:c r="C19" t="str">
        <x:v>NormDocument</x:v>
      </x:c>
    </x:row>
    <x:row r="20">
      <x:c r="C20" t="str">
        <x:v>Service</x:v>
      </x:c>
    </x:row>
  </x:sheetData>
  <x:pageMargins left="0.7" right="0.7" top="0.75" bottom="0.75" header="0.3" footer="0.3"/>
</x:worksheet>
</file>